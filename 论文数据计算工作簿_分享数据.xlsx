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whale-workspace\Deepseek_code_Evaluation_IJEE\"/>
    </mc:Choice>
  </mc:AlternateContent>
  <bookViews>
    <workbookView windowWidth="28800" windowHeight="12375"/>
  </bookViews>
  <sheets>
    <sheet name="0_说明" sheetId="1" r:id="rId1"/>
    <sheet name="表3_五轮均分SD" sheetId="2" r:id="rId2"/>
    <sheet name="表4_离散度" sheetId="3" r:id="rId3"/>
    <sheet name="表5_跨模型ICC" sheetId="4" r:id="rId4"/>
    <sheet name="表6_轮均分" sheetId="5" r:id="rId5"/>
    <sheet name="表7_三分组" sheetId="6" r:id="rId6"/>
    <sheet name="表8_问卷" sheetId="7" r:id="rId7"/>
    <sheet name="表9_编译验证" sheetId="8" r:id="rId8"/>
    <sheet name="表10_参数敏感性" sheetId="9" r:id="rId9"/>
    <sheet name="表11_跨平台" sheetId="10" r:id="rId10"/>
    <sheet name="表12_跨时机_教师AI" sheetId="11" r:id="rId11"/>
    <sheet name="配对t检验" sheetId="12" r:id="rId12"/>
    <sheet name="6.3存在分歧的集中点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<sst xmlns="http://schemas.openxmlformats.org/spreadsheetml/2006/main" count="4374" uniqueCount="539">
  <si>
    <t>LLM_code_assessment项目的数据计算工作簿</t>
  </si>
  <si>
    <t xml:space="preserve">本工作簿将论文中所有基于基础数据的计算逐一落地:每个表一个 sheet,基础数据已从源文件拷贝到本表,结果全部由 Excel 公式计算(非硬编码)。
数据来源(两个评估渠道):
  渠道A(自研系统,参数可控): DeepSeek-Coder(主模型) + 6个 DeepSeek-V4 配置;文件以"成绩基础信息-"开头。
  渠道B(第三方 workbuddy 平台,参数不可控): DSV4Flash、DSV4Pro、KimK3、MiniMaxM3、HunYuan;文件以"评估成绩基础信息-"开头。
</t>
  </si>
  <si>
    <t>表3 五轮总分与四维度均值、标准差 (主模型 DeepSeek-Coder, N=36)</t>
  </si>
  <si>
    <t>总分</t>
  </si>
  <si>
    <t>总分排除第一轮3名0分学生</t>
  </si>
  <si>
    <t>第1轮</t>
  </si>
  <si>
    <t>基础质量</t>
  </si>
  <si>
    <t>可维护性</t>
  </si>
  <si>
    <t>性能效率</t>
  </si>
  <si>
    <t>安全性</t>
  </si>
  <si>
    <t>学号</t>
  </si>
  <si>
    <t>第2轮</t>
  </si>
  <si>
    <t>第3轮</t>
  </si>
  <si>
    <t>第4轮</t>
  </si>
  <si>
    <t>第5轮</t>
  </si>
  <si>
    <t>R5-R1</t>
  </si>
  <si>
    <t>abs(q)</t>
  </si>
  <si>
    <t>秩次（Rank）</t>
  </si>
  <si>
    <t>正秩和</t>
  </si>
  <si>
    <t>负秩和</t>
  </si>
  <si>
    <t>30612501</t>
  </si>
  <si>
    <t>30612502</t>
  </si>
  <si>
    <t>30612504</t>
  </si>
  <si>
    <t>30612505</t>
  </si>
  <si>
    <t>30612507</t>
  </si>
  <si>
    <t>30612508</t>
  </si>
  <si>
    <t>30612509</t>
  </si>
  <si>
    <t>30612510</t>
  </si>
  <si>
    <t>30612511</t>
  </si>
  <si>
    <t>30612512</t>
  </si>
  <si>
    <t>30612513</t>
  </si>
  <si>
    <t>30612514</t>
  </si>
  <si>
    <t>30612515</t>
  </si>
  <si>
    <t>30612516</t>
  </si>
  <si>
    <t>30612517</t>
  </si>
  <si>
    <t>30612518</t>
  </si>
  <si>
    <t>30612519</t>
  </si>
  <si>
    <t>30612520</t>
  </si>
  <si>
    <t>30612521</t>
  </si>
  <si>
    <t>30612522</t>
  </si>
  <si>
    <t>30612523</t>
  </si>
  <si>
    <t>30612524</t>
  </si>
  <si>
    <t>30612525</t>
  </si>
  <si>
    <t>30612526</t>
  </si>
  <si>
    <t>30612527</t>
  </si>
  <si>
    <t>30612529</t>
  </si>
  <si>
    <t>30612528</t>
  </si>
  <si>
    <t>30612530</t>
  </si>
  <si>
    <t>30612532</t>
  </si>
  <si>
    <t>30612533</t>
  </si>
  <si>
    <t>30612536</t>
  </si>
  <si>
    <t>30612537</t>
  </si>
  <si>
    <t>30612540</t>
  </si>
  <si>
    <t>30612541</t>
  </si>
  <si>
    <t>30612539</t>
  </si>
  <si>
    <t>30612542</t>
  </si>
  <si>
    <t>均值</t>
  </si>
  <si>
    <t>标准差SD</t>
  </si>
  <si>
    <t>变异系数：</t>
  </si>
  <si>
    <t>平均差异（R5 - R1）</t>
  </si>
  <si>
    <t>配对 t 值（带符号）</t>
  </si>
  <si>
    <t>p</t>
  </si>
  <si>
    <t>Cohen's dz</t>
  </si>
  <si>
    <t>N</t>
  </si>
  <si>
    <t>t 临界值（双尾 95%）</t>
  </si>
  <si>
    <t>SE</t>
  </si>
  <si>
    <t>dz 下界</t>
  </si>
  <si>
    <t>dz 上界</t>
  </si>
  <si>
    <t>Wilcoxon W</t>
  </si>
  <si>
    <t>dz 下界(非中心 t 精确法)</t>
  </si>
  <si>
    <t>用Python做</t>
  </si>
  <si>
    <t>dz 上界(非中心 t 精确法)</t>
  </si>
  <si>
    <t>ICC</t>
  </si>
  <si>
    <t>表4 分数离散度 (总分, N=36)</t>
  </si>
  <si>
    <t>学生</t>
  </si>
  <si>
    <t>第1轮总分</t>
  </si>
  <si>
    <t>第2轮总分</t>
  </si>
  <si>
    <t>第3轮总分</t>
  </si>
  <si>
    <t>第4轮总分</t>
  </si>
  <si>
    <t>第5轮总分</t>
  </si>
  <si>
    <t>指标</t>
  </si>
  <si>
    <t>变异系数CV</t>
  </si>
  <si>
    <t>四分位距IQR</t>
  </si>
  <si>
    <t>P10-P90</t>
  </si>
  <si>
    <t>表5 五个第三方(workbuddy)模型的跨模型评分一致性 (180条 = 36人 x 5轮)</t>
  </si>
  <si>
    <t>总成绩</t>
  </si>
  <si>
    <t>行号</t>
  </si>
  <si>
    <t>DSV4Flash</t>
  </si>
  <si>
    <t>DSV4Pro</t>
  </si>
  <si>
    <t>KimK3</t>
  </si>
  <si>
    <t>MinMaxM3</t>
  </si>
  <si>
    <t>HunYuan</t>
  </si>
  <si>
    <t>行均值</t>
  </si>
  <si>
    <t>最大值-最小值</t>
  </si>
  <si>
    <t>DSCoder</t>
  </si>
  <si>
    <t>行平均值</t>
  </si>
  <si>
    <t>R1-30612501</t>
  </si>
  <si>
    <t>R1-30612502</t>
  </si>
  <si>
    <t>R1-30612504</t>
  </si>
  <si>
    <t>R1-30612505</t>
  </si>
  <si>
    <t>R1-30612507</t>
  </si>
  <si>
    <t>R1-30612508</t>
  </si>
  <si>
    <t>R1-30612509</t>
  </si>
  <si>
    <t>R1-30612510</t>
  </si>
  <si>
    <t>R1-30612511</t>
  </si>
  <si>
    <t>R1-30612512</t>
  </si>
  <si>
    <t>R1-30612513</t>
  </si>
  <si>
    <t>R1-30612514</t>
  </si>
  <si>
    <t>R1-30612515</t>
  </si>
  <si>
    <t>R1-30612516</t>
  </si>
  <si>
    <t>R1-30612517</t>
  </si>
  <si>
    <t>R1-30612518</t>
  </si>
  <si>
    <t>R1-30612519</t>
  </si>
  <si>
    <t>R1-30612520</t>
  </si>
  <si>
    <t>R1-30612521</t>
  </si>
  <si>
    <t>R1-30612522</t>
  </si>
  <si>
    <t>R1-30612523</t>
  </si>
  <si>
    <t>R1-30612524</t>
  </si>
  <si>
    <t>R1-30612525</t>
  </si>
  <si>
    <t>R1-30612526</t>
  </si>
  <si>
    <t>R1-30612527</t>
  </si>
  <si>
    <t>R1-30612528</t>
  </si>
  <si>
    <t>R1-30612529</t>
  </si>
  <si>
    <t>R1-30612530</t>
  </si>
  <si>
    <t>R1-30612532</t>
  </si>
  <si>
    <t>R1-30612533</t>
  </si>
  <si>
    <t>R1-30612536</t>
  </si>
  <si>
    <t>R1-30612537</t>
  </si>
  <si>
    <t>R1-30612539</t>
  </si>
  <si>
    <t>R1-30612540</t>
  </si>
  <si>
    <t>R1-30612541</t>
  </si>
  <si>
    <t>R1-30612542</t>
  </si>
  <si>
    <t>R2-30612501</t>
  </si>
  <si>
    <t>R2-30612502</t>
  </si>
  <si>
    <t>R2-30612504</t>
  </si>
  <si>
    <t>R2-30612505</t>
  </si>
  <si>
    <t>R2-30612507</t>
  </si>
  <si>
    <t>R2-30612508</t>
  </si>
  <si>
    <t>R2-30612509</t>
  </si>
  <si>
    <t>R2-30612510</t>
  </si>
  <si>
    <t>R2-30612511</t>
  </si>
  <si>
    <t>R2-30612512</t>
  </si>
  <si>
    <t>R2-30612513</t>
  </si>
  <si>
    <t>R2-30612514</t>
  </si>
  <si>
    <t>R2-30612515</t>
  </si>
  <si>
    <t>R2-30612516</t>
  </si>
  <si>
    <t>R2-30612517</t>
  </si>
  <si>
    <t>R2-30612518</t>
  </si>
  <si>
    <t>R2-30612519</t>
  </si>
  <si>
    <t>R2-30612520</t>
  </si>
  <si>
    <t>R2-30612521</t>
  </si>
  <si>
    <t>R2-30612522</t>
  </si>
  <si>
    <t>R2-30612523</t>
  </si>
  <si>
    <t>R2-30612524</t>
  </si>
  <si>
    <t>R2-30612525</t>
  </si>
  <si>
    <t>R2-30612526</t>
  </si>
  <si>
    <t>R2-30612527</t>
  </si>
  <si>
    <t>R2-30612528</t>
  </si>
  <si>
    <t>R2-30612529</t>
  </si>
  <si>
    <t>R2-30612530</t>
  </si>
  <si>
    <t>R2-30612532</t>
  </si>
  <si>
    <t>R2-30612533</t>
  </si>
  <si>
    <t>R2-30612536</t>
  </si>
  <si>
    <t>R2-30612537</t>
  </si>
  <si>
    <t>R2-30612539</t>
  </si>
  <si>
    <t>R2-30612540</t>
  </si>
  <si>
    <t>R2-30612541</t>
  </si>
  <si>
    <t>R2-30612542</t>
  </si>
  <si>
    <t>R3-30612501</t>
  </si>
  <si>
    <t>R3-30612502</t>
  </si>
  <si>
    <t>R3-30612504</t>
  </si>
  <si>
    <t>R3-30612505</t>
  </si>
  <si>
    <t>R3-30612507</t>
  </si>
  <si>
    <t>R3-30612508</t>
  </si>
  <si>
    <t>R3-30612509</t>
  </si>
  <si>
    <t>R3-30612510</t>
  </si>
  <si>
    <t>R3-30612511</t>
  </si>
  <si>
    <t>R3-30612512</t>
  </si>
  <si>
    <t>R3-30612513</t>
  </si>
  <si>
    <t>R3-30612514</t>
  </si>
  <si>
    <t>R3-30612515</t>
  </si>
  <si>
    <t>R3-30612516</t>
  </si>
  <si>
    <t>R3-30612517</t>
  </si>
  <si>
    <t>R3-30612518</t>
  </si>
  <si>
    <t>R3-30612519</t>
  </si>
  <si>
    <t>R3-30612520</t>
  </si>
  <si>
    <t>R3-30612521</t>
  </si>
  <si>
    <t>R3-30612522</t>
  </si>
  <si>
    <t>R3-30612523</t>
  </si>
  <si>
    <t>R3-30612524</t>
  </si>
  <si>
    <t>R3-30612525</t>
  </si>
  <si>
    <t>R3-30612526</t>
  </si>
  <si>
    <t>R3-30612527</t>
  </si>
  <si>
    <t>R3-30612528</t>
  </si>
  <si>
    <t>R3-30612529</t>
  </si>
  <si>
    <t>R3-30612530</t>
  </si>
  <si>
    <t>R3-30612532</t>
  </si>
  <si>
    <t>R3-30612533</t>
  </si>
  <si>
    <t>R3-30612536</t>
  </si>
  <si>
    <t>R3-30612537</t>
  </si>
  <si>
    <t>R3-30612539</t>
  </si>
  <si>
    <t>R3-30612540</t>
  </si>
  <si>
    <t>R3-30612541</t>
  </si>
  <si>
    <t>R3-30612542</t>
  </si>
  <si>
    <t>R4-30612501</t>
  </si>
  <si>
    <t>R4-30612502</t>
  </si>
  <si>
    <t>R4-30612504</t>
  </si>
  <si>
    <t>R4-30612505</t>
  </si>
  <si>
    <t>R4-30612507</t>
  </si>
  <si>
    <t>R4-30612508</t>
  </si>
  <si>
    <t>R4-30612509</t>
  </si>
  <si>
    <t>R4-30612510</t>
  </si>
  <si>
    <t>R4-30612511</t>
  </si>
  <si>
    <t>R4-30612512</t>
  </si>
  <si>
    <t>R4-30612513</t>
  </si>
  <si>
    <t>R4-30612514</t>
  </si>
  <si>
    <t>R4-30612515</t>
  </si>
  <si>
    <t>R4-30612516</t>
  </si>
  <si>
    <t>R4-30612517</t>
  </si>
  <si>
    <t>R4-30612518</t>
  </si>
  <si>
    <t>R4-30612519</t>
  </si>
  <si>
    <t>R4-30612520</t>
  </si>
  <si>
    <t>R4-30612521</t>
  </si>
  <si>
    <t>R4-30612522</t>
  </si>
  <si>
    <t>R4-30612523</t>
  </si>
  <si>
    <t>R4-30612524</t>
  </si>
  <si>
    <t>R4-30612525</t>
  </si>
  <si>
    <t>R4-30612526</t>
  </si>
  <si>
    <t>R4-30612527</t>
  </si>
  <si>
    <t>R4-30612528</t>
  </si>
  <si>
    <t>R4-30612529</t>
  </si>
  <si>
    <t>R4-30612530</t>
  </si>
  <si>
    <t>R4-30612532</t>
  </si>
  <si>
    <t>R4-30612533</t>
  </si>
  <si>
    <t>R4-30612536</t>
  </si>
  <si>
    <t>R4-30612537</t>
  </si>
  <si>
    <t>R4-30612539</t>
  </si>
  <si>
    <t>R4-30612540</t>
  </si>
  <si>
    <t>R4-30612541</t>
  </si>
  <si>
    <t>R4-30612542</t>
  </si>
  <si>
    <t>R5-30612501</t>
  </si>
  <si>
    <t>R5-30612502</t>
  </si>
  <si>
    <t>R5-30612504</t>
  </si>
  <si>
    <t>R5-30612505</t>
  </si>
  <si>
    <t>R5-30612507</t>
  </si>
  <si>
    <t>R5-30612508</t>
  </si>
  <si>
    <t>R5-30612509</t>
  </si>
  <si>
    <t>R5-30612510</t>
  </si>
  <si>
    <t>R5-30612511</t>
  </si>
  <si>
    <t>R5-30612512</t>
  </si>
  <si>
    <t>R5-30612513</t>
  </si>
  <si>
    <t>R5-30612514</t>
  </si>
  <si>
    <t>R5-30612515</t>
  </si>
  <si>
    <t>R5-30612516</t>
  </si>
  <si>
    <t>R5-30612517</t>
  </si>
  <si>
    <t>R5-30612518</t>
  </si>
  <si>
    <t>R5-30612519</t>
  </si>
  <si>
    <t>R5-30612520</t>
  </si>
  <si>
    <t>R5-30612521</t>
  </si>
  <si>
    <t>R5-30612522</t>
  </si>
  <si>
    <t>R5-30612523</t>
  </si>
  <si>
    <t>R5-30612524</t>
  </si>
  <si>
    <t>R5-30612525</t>
  </si>
  <si>
    <t>R5-30612526</t>
  </si>
  <si>
    <t>R5-30612527</t>
  </si>
  <si>
    <t>R5-30612528</t>
  </si>
  <si>
    <t>R5-30612529</t>
  </si>
  <si>
    <t>R5-30612530</t>
  </si>
  <si>
    <t>R5-30612532</t>
  </si>
  <si>
    <t>R5-30612533</t>
  </si>
  <si>
    <t>R5-30612536</t>
  </si>
  <si>
    <t>R5-30612537</t>
  </si>
  <si>
    <t>R5-30612539</t>
  </si>
  <si>
    <t>R5-30612540</t>
  </si>
  <si>
    <t>R5-30612541</t>
  </si>
  <si>
    <t>R5-30612542</t>
  </si>
  <si>
    <t>列均值</t>
  </si>
  <si>
    <t>总均值G</t>
  </si>
  <si>
    <t>SSR</t>
  </si>
  <si>
    <t>SSC</t>
  </si>
  <si>
    <t>SST</t>
  </si>
  <si>
    <t>SSE=SST-SSR-SSC</t>
  </si>
  <si>
    <t>MSR</t>
  </si>
  <si>
    <t>MSC</t>
  </si>
  <si>
    <t>MSE</t>
  </si>
  <si>
    <t>ICC(3,1) (总分,五模型)</t>
  </si>
  <si>
    <t>ICC(3,1) (基础质量)</t>
  </si>
  <si>
    <t>ICC(3,1) (可维护性)</t>
  </si>
  <si>
    <t>ICC(3,1) (性能效率)</t>
  </si>
  <si>
    <t>ICC(3,1) (安全性)</t>
  </si>
  <si>
    <t>ICC(2,1) (总分,五模型)</t>
  </si>
  <si>
    <t>ICC(2,1) (基础质量)</t>
  </si>
  <si>
    <t>ICC(2,1) (可维护性)</t>
  </si>
  <si>
    <t>ICC(2,1) (性能效率)</t>
  </si>
  <si>
    <t>ICC(2,1) (安全性)</t>
  </si>
  <si>
    <t>F0=MSR/MSE</t>
  </si>
  <si>
    <t>F_L (df2=716,df1=179)</t>
  </si>
  <si>
    <t>F_U (df1=179,df2=716)</t>
  </si>
  <si>
    <t>ICC(3,1) 下界</t>
  </si>
  <si>
    <t>ICC(3,1) 上界</t>
  </si>
  <si>
    <t>两两皮尔逊相关系数</t>
  </si>
  <si>
    <t>-</t>
  </si>
  <si>
    <t>MAX</t>
  </si>
  <si>
    <t>MIN</t>
  </si>
  <si>
    <t>Deepseek-coder和五模型的皮尔逊相关系数</t>
  </si>
  <si>
    <t>Deepseek-coder和五模型的LinCCC</t>
  </si>
  <si>
    <t>Deepseek-coder和五模型的MAE</t>
  </si>
  <si>
    <t>Deepseek-coder和五模型的RMSE</t>
  </si>
  <si>
    <t>值</t>
  </si>
  <si>
    <t>说明</t>
  </si>
  <si>
    <t>range&gt;20 记录数</t>
  </si>
  <si>
    <t>pass/fail 一致记录数(用于算分裂)</t>
  </si>
  <si>
    <t>分裂数 = 180 - 一致数</t>
  </si>
  <si>
    <t>异源3模型(行号)</t>
  </si>
  <si>
    <t>MiniMaxM3</t>
  </si>
  <si>
    <t>ICC(3,1) (异源3模型总分)</t>
  </si>
  <si>
    <t>ICC(2,1) (异源3模型总分)</t>
  </si>
  <si>
    <t>F_L (df2=358,df1=179)</t>
  </si>
  <si>
    <t>F_U (df1=179,df2=358)</t>
  </si>
  <si>
    <t>是否一致通过</t>
  </si>
  <si>
    <t>ICC(3,1) (第1轮)</t>
  </si>
  <si>
    <t>ICC(2,1) (第1轮)</t>
  </si>
  <si>
    <t>F_L (df2=140,df1=35)</t>
  </si>
  <si>
    <t>F_U (df1=35,df2=140)</t>
  </si>
  <si>
    <t>ICC(3,1) (第2轮)</t>
  </si>
  <si>
    <t>ICC(2,1) (第2轮)</t>
  </si>
  <si>
    <t>ICC(3,1) (第3轮)</t>
  </si>
  <si>
    <t>ICC(2,1) (第3轮)</t>
  </si>
  <si>
    <t>ICC(3,1) (第4轮)</t>
  </si>
  <si>
    <t>ICC(2,1) (第4轮)</t>
  </si>
  <si>
    <t>ICC(3,1) (第5轮)</t>
  </si>
  <si>
    <t>ICC(2,1) (第5轮)</t>
  </si>
  <si>
    <t>表6 主模型与五个第三方模型的各轮总分均值与 R1-R5 差 (N=36)</t>
  </si>
  <si>
    <t>模型(渠道)</t>
  </si>
  <si>
    <t>第1轮均值</t>
  </si>
  <si>
    <t>第2轮均值</t>
  </si>
  <si>
    <t>第3轮均值</t>
  </si>
  <si>
    <t>第4轮均值</t>
  </si>
  <si>
    <t>第5轮均值</t>
  </si>
  <si>
    <t>R1-R5差</t>
  </si>
  <si>
    <t>DeepSeek-Coder(自研)</t>
  </si>
  <si>
    <t>DSV4Flash(workbuddy)</t>
  </si>
  <si>
    <t>DSV4Pro(workbuddy)</t>
  </si>
  <si>
    <t>KimK3(workbuddy)</t>
  </si>
  <si>
    <t>MinMaxM3(workbuddy)</t>
  </si>
  <si>
    <t>HunYuan(workbuddy)</t>
  </si>
  <si>
    <t>R1</t>
  </si>
  <si>
    <t>R2</t>
  </si>
  <si>
    <t>R3</t>
  </si>
  <si>
    <t>R4</t>
  </si>
  <si>
    <t>R5</t>
  </si>
  <si>
    <t>表7 按第1轮总分三分组后的第1、5轮均值 (每组12人, 主模型)</t>
  </si>
  <si>
    <t>分组</t>
  </si>
  <si>
    <t>低分组</t>
  </si>
  <si>
    <t>中分组</t>
  </si>
  <si>
    <t>高分组</t>
  </si>
  <si>
    <t>表8 36名学生问卷各题均值、标准差与积极率</t>
  </si>
  <si>
    <t>Q3理解</t>
  </si>
  <si>
    <t>Q4准确</t>
  </si>
  <si>
    <t>Q5可操作</t>
  </si>
  <si>
    <t>Q6价值</t>
  </si>
  <si>
    <t>Q7阅读</t>
  </si>
  <si>
    <t>Q8工匠</t>
  </si>
  <si>
    <t>Q9基础</t>
  </si>
  <si>
    <t>Q10可维护</t>
  </si>
  <si>
    <t>Q11性能</t>
  </si>
  <si>
    <t>Q12安全</t>
  </si>
  <si>
    <t>Q13整体</t>
  </si>
  <si>
    <t>Q14习惯</t>
  </si>
  <si>
    <t>Q15继续</t>
  </si>
  <si>
    <t>16、与传统仅由老师批改或平台自动判题的方式相比，你更喜欢哪一种?【单选题】</t>
  </si>
  <si>
    <t>标准差</t>
  </si>
  <si>
    <t>积极率(&gt;=4)</t>
  </si>
  <si>
    <t>更喜欢传统方式，但智能系统可作为补充</t>
  </si>
  <si>
    <t>两种方式各有优劣，结合最好</t>
  </si>
  <si>
    <t>更喜欢本智能评价系统，但老师指导不可少</t>
  </si>
  <si>
    <t>表9 编译验证:第1轮编译结果与基础质量分数 (18人)</t>
  </si>
  <si>
    <t>R1编译成功(1=是)</t>
  </si>
  <si>
    <t>AI基础质量</t>
  </si>
  <si>
    <t>教师1基础质量</t>
  </si>
  <si>
    <t>教师2基础质量</t>
  </si>
  <si>
    <t>教师均值</t>
  </si>
  <si>
    <t>DSflash</t>
  </si>
  <si>
    <t>DSpor</t>
  </si>
  <si>
    <t>kimik3</t>
  </si>
  <si>
    <t>minmaxM3</t>
  </si>
  <si>
    <t>混元</t>
  </si>
  <si>
    <t>人数</t>
  </si>
  <si>
    <t>教师均值基础质量M</t>
  </si>
  <si>
    <t>AI基础质量M</t>
  </si>
  <si>
    <t>编译成功</t>
  </si>
  <si>
    <t>编译失败</t>
  </si>
  <si>
    <t>R1运行成功(1=是)</t>
  </si>
  <si>
    <t>教师均值基础质量SD</t>
  </si>
  <si>
    <t>AI基础质量SD</t>
  </si>
  <si>
    <t>运行成功</t>
  </si>
  <si>
    <t>运行失败</t>
  </si>
  <si>
    <t>difference</t>
  </si>
  <si>
    <t>第一轮</t>
  </si>
  <si>
    <t>Deepseek flash</t>
  </si>
  <si>
    <t>Deepseekpro</t>
  </si>
  <si>
    <t>p30612501</t>
  </si>
  <si>
    <t>p30612502</t>
  </si>
  <si>
    <t>P30612504</t>
  </si>
  <si>
    <t>p30612505</t>
  </si>
  <si>
    <t>P30612507</t>
  </si>
  <si>
    <t>P30612508</t>
  </si>
  <si>
    <t>p30612509</t>
  </si>
  <si>
    <t>p30612510</t>
  </si>
  <si>
    <t>P30612511</t>
  </si>
  <si>
    <t>p30612512</t>
  </si>
  <si>
    <t>P30612513</t>
  </si>
  <si>
    <t>P30612514</t>
  </si>
  <si>
    <t>P30612515</t>
  </si>
  <si>
    <t>p30612516</t>
  </si>
  <si>
    <t>p30612517</t>
  </si>
  <si>
    <t>p30612518</t>
  </si>
  <si>
    <t>p30612519</t>
  </si>
  <si>
    <t>p30612520</t>
  </si>
  <si>
    <t>P30612521</t>
  </si>
  <si>
    <t>p30612522</t>
  </si>
  <si>
    <t>p30612523</t>
  </si>
  <si>
    <t>P30612524</t>
  </si>
  <si>
    <t>p30612525</t>
  </si>
  <si>
    <t>p30612526</t>
  </si>
  <si>
    <t>p30612527</t>
  </si>
  <si>
    <t>p30612528</t>
  </si>
  <si>
    <t>p30612529</t>
  </si>
  <si>
    <t>p30612530</t>
  </si>
  <si>
    <t>p30612532</t>
  </si>
  <si>
    <t>p30612533</t>
  </si>
  <si>
    <t>p30612536</t>
  </si>
  <si>
    <t>p30612537</t>
  </si>
  <si>
    <t>p30612539</t>
  </si>
  <si>
    <t>p30612540</t>
  </si>
  <si>
    <t>p30612541</t>
  </si>
  <si>
    <t>p30612542</t>
  </si>
  <si>
    <t>5模型通过/不通过分歧（第一轮）只算基础质量</t>
  </si>
  <si>
    <t>6模型通过/不通过分歧（第一轮）算总分</t>
  </si>
  <si>
    <t>第五轮</t>
  </si>
  <si>
    <t>5模型通过/不通过分歧（第5轮）只算基础质量</t>
  </si>
  <si>
    <t>6模型通过/不通过分歧（第5轮）算总分</t>
  </si>
  <si>
    <t>表10 自研系统6个DeepSeek-V4配置的评分配置敏感性 (180条/配置)</t>
  </si>
  <si>
    <t>配置</t>
  </si>
  <si>
    <t>V4-Flash, T0.3, 8000tokens</t>
  </si>
  <si>
    <t>V4-Flash, T0.3, 2000tokens</t>
  </si>
  <si>
    <t>V4-Flash, T0.6, 8000tokens</t>
  </si>
  <si>
    <t>V4-Pro, T0.3, 8000tokens</t>
  </si>
  <si>
    <t>V4-Pro, T0.3, 2000tokens</t>
  </si>
  <si>
    <t>V4-Pro, T0.6, 8000tokens</t>
  </si>
  <si>
    <t>温度 flash 0.3-&gt;0.6-A</t>
  </si>
  <si>
    <t>温度 flash 0.3-&gt;0.6-B</t>
  </si>
  <si>
    <t>温度 pro 0.3-&gt;0.6-A</t>
  </si>
  <si>
    <t>温度 pro 0.3-&gt;0.6-B</t>
  </si>
  <si>
    <t>tokens flash 8000-&gt;2000-A</t>
  </si>
  <si>
    <t>tokens flash 8000-&gt;2000-B</t>
  </si>
  <si>
    <t>tokens pro 8000-&gt;2000-A</t>
  </si>
  <si>
    <t>tokens pro 8000-&gt;2000-B</t>
  </si>
  <si>
    <t>模型 flash-&gt;pro(8000,T0.3)-A</t>
  </si>
  <si>
    <t>模型 flash-&gt;pro(8000,T0.3)-B</t>
  </si>
  <si>
    <t xml:space="preserve">ICC(3,1) </t>
  </si>
  <si>
    <t xml:space="preserve">ICC(2,1) </t>
  </si>
  <si>
    <t>F_L (df2=895,df1=179)</t>
  </si>
  <si>
    <t>F_U (df1=179,df2=895)</t>
  </si>
  <si>
    <t>参数效应(配对t检验)</t>
  </si>
  <si>
    <t>t值</t>
  </si>
  <si>
    <t>p值</t>
  </si>
  <si>
    <t>均值差</t>
  </si>
  <si>
    <t>温度 flash 0.3-&gt;0.6</t>
  </si>
  <si>
    <t>温度 pro 0.3-&gt;0.6</t>
  </si>
  <si>
    <t>tokens flash 8000-&gt;2000</t>
  </si>
  <si>
    <t>tokens pro 8000-&gt;2000</t>
  </si>
  <si>
    <t>模型 flash-&gt;pro(8000,T0.3)</t>
  </si>
  <si>
    <t>表11 同源模型的跨平台一致性 (自研 vs workbuddy, 180条)</t>
  </si>
  <si>
    <t>自研v4flash</t>
  </si>
  <si>
    <t>workbuddy DSV4Flash</t>
  </si>
  <si>
    <t>自研v4pro</t>
  </si>
  <si>
    <t>workbuddy DSV4Pro</t>
  </si>
  <si>
    <t>模型对</t>
  </si>
  <si>
    <t>Pearson r</t>
  </si>
  <si>
    <t>Lin CCC</t>
  </si>
  <si>
    <t>MAE</t>
  </si>
  <si>
    <t>均值差(自研-第三方)</t>
  </si>
  <si>
    <t>v4flash 自研 vs workbuddy</t>
  </si>
  <si>
    <t>v4pro 自研 vs workbuddy</t>
  </si>
  <si>
    <t>跨时机稳定性(coder vs v4flash)与教师-AI一致性(18人)</t>
  </si>
  <si>
    <t>coder R1</t>
  </si>
  <si>
    <t>v4flash R1(重评)</t>
  </si>
  <si>
    <t>差(重评-原评)</t>
  </si>
  <si>
    <t>两者均值</t>
  </si>
  <si>
    <t>跨时机指标</t>
  </si>
  <si>
    <t>均值差(重评-原评)</t>
  </si>
  <si>
    <t>差的标准差</t>
  </si>
  <si>
    <t>LoA下界</t>
  </si>
  <si>
    <t>LoA上界</t>
  </si>
  <si>
    <t>|差|&gt;15人数</t>
  </si>
  <si>
    <t>AI R1</t>
  </si>
  <si>
    <t>AI R5</t>
  </si>
  <si>
    <t>教师1 R1</t>
  </si>
  <si>
    <t>教师1 R5</t>
  </si>
  <si>
    <t>教师2 R1</t>
  </si>
  <si>
    <t>教师2 R5</t>
  </si>
  <si>
    <t>教师均值R1</t>
  </si>
  <si>
    <t>教师均值R5</t>
  </si>
  <si>
    <t>教师-AI一致性</t>
  </si>
  <si>
    <t>R1值</t>
  </si>
  <si>
    <t>R5值</t>
  </si>
  <si>
    <t>Pearson r (AI vs 教师均值)</t>
  </si>
  <si>
    <t>MAE (AI vs 教师均值)</t>
  </si>
  <si>
    <t>均值差(教师-AI)</t>
  </si>
  <si>
    <t>CCC(AI vs 教师）</t>
  </si>
  <si>
    <t>t(AI R1-R5)</t>
  </si>
  <si>
    <t>t(教师1 R1-R5)</t>
  </si>
  <si>
    <t>t(教师2 R1-R5)</t>
  </si>
  <si>
    <t>教师间一致性</t>
  </si>
  <si>
    <t>Pearson r (教师1 vs 教师2)</t>
  </si>
  <si>
    <t>MAE (教师1 vs 教师2)</t>
  </si>
  <si>
    <t>教师1均值</t>
  </si>
  <si>
    <t>教师2均值</t>
  </si>
  <si>
    <t xml:space="preserve">MAE </t>
  </si>
  <si>
    <t>配对t检验:全样本R1-R5 与 18人子样本 AI差 vs 教师差</t>
  </si>
  <si>
    <t>R1总分</t>
  </si>
  <si>
    <t>R5总分</t>
  </si>
  <si>
    <t>差(R5-R1)</t>
  </si>
  <si>
    <t>全样本指标</t>
  </si>
  <si>
    <t>R1均值</t>
  </si>
  <si>
    <t>R5均值</t>
  </si>
  <si>
    <t>配对t</t>
  </si>
  <si>
    <t>t值(带符号)</t>
  </si>
  <si>
    <t>AI差</t>
  </si>
  <si>
    <t>T1差</t>
  </si>
  <si>
    <t>T2差</t>
  </si>
  <si>
    <t>教师均值差</t>
  </si>
  <si>
    <t>18人指标</t>
  </si>
  <si>
    <t>AI差均值</t>
  </si>
  <si>
    <t>配对t(AI差 vs 教师差)</t>
  </si>
  <si>
    <t>dz</t>
  </si>
  <si>
    <t>Deepseek-coder和五模型的MAE（&lt;75)</t>
  </si>
  <si>
    <t>Deepseek-coder和五模型的MAE（&gt;=90)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</si>
</sst>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000_ "/>
    <numFmt numFmtId="179" formatCode="0.0%"/>
    <numFmt numFmtId="180" formatCode="0.00000000_ "/>
    <numFmt numFmtId="181" formatCode="0.0000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微软雅黑"/>
      <charset val="134"/>
    </font>
    <font>
      <b/>
      <sz val="13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.25"/>
      <color rgb="FF0F1115"/>
      <name val="Segoe UI"/>
      <charset val="134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5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2" fillId="0" borderId="1" xfId="0" applyFont="1" applyBorder="1"/>
    <xf numFmtId="176" fontId="0" fillId="0" borderId="1" xfId="0" applyNumberFormat="1" applyBorder="1"/>
    <xf numFmtId="176" fontId="0" fillId="0" borderId="2" xfId="0" applyNumberFormat="1" applyBorder="1"/>
    <xf numFmtId="176" fontId="0" fillId="0" borderId="0" xfId="0" applyNumberFormat="1"/>
    <xf numFmtId="0" fontId="3" fillId="0" borderId="0" xfId="0" applyFont="1"/>
    <xf numFmtId="0" fontId="0" fillId="4" borderId="0" xfId="0" applyFill="1"/>
    <xf numFmtId="176" fontId="0" fillId="4" borderId="0" xfId="0" applyNumberFormat="1" applyFill="1"/>
    <xf numFmtId="10" fontId="0" fillId="0" borderId="0" xfId="0" applyNumberFormat="1" applyAlignment="1">
      <alignment horizontal="left"/>
    </xf>
    <xf numFmtId="177" fontId="0" fillId="0" borderId="0" xfId="0" applyNumberFormat="1"/>
    <xf numFmtId="176" fontId="0" fillId="4" borderId="0" xfId="0" applyNumberFormat="1" applyFill="1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0" borderId="1" xfId="0" applyFill="1" applyBorder="1" applyAlignment="1"/>
    <xf numFmtId="0" fontId="0" fillId="0" borderId="1" xfId="0" applyFont="1" applyFill="1" applyBorder="1" applyAlignment="1"/>
    <xf numFmtId="176" fontId="0" fillId="3" borderId="0" xfId="0" applyNumberFormat="1" applyFill="1"/>
    <xf numFmtId="0" fontId="4" fillId="2" borderId="0" xfId="0" applyFont="1" applyFill="1"/>
    <xf numFmtId="0" fontId="4" fillId="4" borderId="0" xfId="0" applyFont="1" applyFill="1"/>
    <xf numFmtId="176" fontId="4" fillId="4" borderId="0" xfId="0" applyNumberFormat="1" applyFont="1" applyFill="1"/>
    <xf numFmtId="178" fontId="0" fillId="4" borderId="0" xfId="0" applyNumberFormat="1" applyFill="1"/>
    <xf numFmtId="0" fontId="0" fillId="0" borderId="1" xfId="0" applyFill="1" applyBorder="1" applyAlignment="1">
      <alignment vertical="center"/>
    </xf>
    <xf numFmtId="177" fontId="0" fillId="4" borderId="0" xfId="0" applyNumberFormat="1" applyFill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179" fontId="0" fillId="0" borderId="0" xfId="0" applyNumberFormat="1"/>
    <xf numFmtId="0" fontId="5" fillId="5" borderId="1" xfId="49" applyFill="1" applyBorder="1" applyAlignment="1">
      <alignment vertical="center" wrapText="1"/>
    </xf>
    <xf numFmtId="0" fontId="5" fillId="5" borderId="1" xfId="49" applyFill="1" applyBorder="1"/>
    <xf numFmtId="0" fontId="5" fillId="5" borderId="1" xfId="49" applyFont="1" applyFill="1" applyBorder="1" applyAlignment="1"/>
    <xf numFmtId="0" fontId="5" fillId="5" borderId="0" xfId="49" applyFill="1" applyAlignment="1"/>
    <xf numFmtId="0" fontId="6" fillId="0" borderId="0" xfId="49" applyFont="1"/>
    <xf numFmtId="0" fontId="5" fillId="5" borderId="0" xfId="49" applyFill="1"/>
    <xf numFmtId="176" fontId="1" fillId="4" borderId="0" xfId="0" applyNumberFormat="1" applyFont="1" applyFill="1"/>
    <xf numFmtId="10" fontId="0" fillId="0" borderId="0" xfId="0" applyNumberFormat="1"/>
    <xf numFmtId="179" fontId="0" fillId="4" borderId="0" xfId="0" applyNumberFormat="1" applyFill="1"/>
    <xf numFmtId="0" fontId="7" fillId="0" borderId="0" xfId="0" applyFont="1"/>
    <xf numFmtId="179" fontId="0" fillId="0" borderId="0" xfId="0" applyNumberFormat="1" applyAlignment="1">
      <alignment horizontal="left"/>
    </xf>
    <xf numFmtId="180" fontId="0" fillId="0" borderId="0" xfId="0" applyNumberFormat="1"/>
    <xf numFmtId="181" fontId="0" fillId="0" borderId="0" xfId="0" applyNumberFormat="1"/>
    <xf numFmtId="176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235" zoomScaleNormal="235" workbookViewId="0">
      <selection activeCell="C16" sqref="C16"/>
    </sheetView>
  </sheetViews>
  <sheetFormatPr defaultColWidth="9" defaultRowHeight="13.5"/>
  <sheetData>
    <row r="1" spans="1:1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3" spans="1:11">
      <c r="A3" s="17" t="s">
        <v>1</v>
      </c>
    </row>
  </sheetData>
  <mergeCells count="2">
    <mergeCell ref="A1:K1"/>
    <mergeCell ref="A3:K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81"/>
  <sheetViews>
    <sheetView zoomScale="85" zoomScaleNormal="85" topLeftCell="A4" workbookViewId="0">
      <selection activeCell="W42" sqref="W42"/>
    </sheetView>
  </sheetViews>
  <sheetFormatPr defaultColWidth="9" defaultRowHeight="13.5"/>
  <cols>
    <col min="11" max="11" width="31.15" customWidth="1"/>
    <col min="12" max="16" width="12.625"/>
    <col min="23" max="23" width="26" customWidth="1"/>
    <col min="24" max="24" width="12.625" customWidth="1"/>
  </cols>
  <sheetData>
    <row r="1" ht="15" spans="1:33">
      <c r="A1" s="11" t="s">
        <v>2</v>
      </c>
    </row>
    <row r="3" spans="1:33">
      <c r="K3" t="s">
        <v>3</v>
      </c>
      <c r="W3" t="s">
        <v>4</v>
      </c>
    </row>
    <row r="4" ht="16.5" spans="1:33">
      <c r="A4" s="2" t="s">
        <v>5</v>
      </c>
      <c r="B4" s="2" t="s">
        <v>3</v>
      </c>
      <c r="C4" s="2" t="s">
        <v>6</v>
      </c>
      <c r="D4" s="2" t="s">
        <v>7</v>
      </c>
      <c r="E4" s="2" t="s">
        <v>8</v>
      </c>
      <c r="F4" s="2" t="s">
        <v>9</v>
      </c>
      <c r="K4" s="2" t="s">
        <v>10</v>
      </c>
      <c r="L4" s="2" t="s">
        <v>5</v>
      </c>
      <c r="M4" s="2" t="s">
        <v>11</v>
      </c>
      <c r="N4" s="2" t="s">
        <v>12</v>
      </c>
      <c r="O4" s="2" t="s">
        <v>13</v>
      </c>
      <c r="P4" s="2" t="s">
        <v>14</v>
      </c>
      <c r="Q4" t="s">
        <v>15</v>
      </c>
      <c r="R4" t="s">
        <v>16</v>
      </c>
      <c r="S4" t="s">
        <v>17</v>
      </c>
      <c r="T4" t="s">
        <v>18</v>
      </c>
      <c r="U4" s="47" t="s">
        <v>19</v>
      </c>
      <c r="W4" s="2" t="s">
        <v>10</v>
      </c>
      <c r="X4" s="2" t="s">
        <v>5</v>
      </c>
      <c r="Y4" s="2" t="s">
        <v>11</v>
      </c>
      <c r="Z4" s="2" t="s">
        <v>12</v>
      </c>
      <c r="AA4" s="2" t="s">
        <v>13</v>
      </c>
      <c r="AB4" s="2" t="s">
        <v>14</v>
      </c>
      <c r="AC4" t="s">
        <v>15</v>
      </c>
      <c r="AD4" t="s">
        <v>16</v>
      </c>
      <c r="AE4" t="s">
        <v>17</v>
      </c>
      <c r="AF4" t="s">
        <v>18</v>
      </c>
      <c r="AG4" s="47" t="s">
        <v>19</v>
      </c>
    </row>
    <row r="5" spans="1:33">
      <c r="A5" t="s">
        <v>20</v>
      </c>
      <c r="B5">
        <v>57.2</v>
      </c>
      <c r="C5">
        <v>60</v>
      </c>
      <c r="D5">
        <v>40</v>
      </c>
      <c r="E5">
        <v>90</v>
      </c>
      <c r="F5">
        <v>30</v>
      </c>
      <c r="K5" t="s">
        <v>20</v>
      </c>
      <c r="L5" s="21">
        <v>57.2</v>
      </c>
      <c r="M5" s="21">
        <v>79.6</v>
      </c>
      <c r="N5" s="21">
        <v>91.6</v>
      </c>
      <c r="O5" s="21">
        <v>79.4</v>
      </c>
      <c r="P5" s="21">
        <v>80.6</v>
      </c>
      <c r="Q5">
        <f>P5-L5</f>
        <v>23.4</v>
      </c>
      <c r="R5">
        <f>ABS(Q5)</f>
        <v>23.4</v>
      </c>
      <c r="S5">
        <f>IF(Q5=0,"",_xlfn.RANK.AVG(R5,$R$5:$R$40,1))</f>
        <v>18.5</v>
      </c>
      <c r="T5">
        <f>IF(Q5&gt;0,S5,0)</f>
        <v>18.5</v>
      </c>
      <c r="U5">
        <f>IF(Q5&lt;0,S5,0)</f>
        <v>0</v>
      </c>
      <c r="W5" t="s">
        <v>20</v>
      </c>
      <c r="X5" s="21">
        <v>57.2</v>
      </c>
      <c r="Y5" s="21">
        <v>79.6</v>
      </c>
      <c r="Z5" s="21">
        <v>91.6</v>
      </c>
      <c r="AA5" s="21">
        <v>79.4</v>
      </c>
      <c r="AB5" s="21">
        <v>80.6</v>
      </c>
      <c r="AC5">
        <f t="shared" ref="AC5:AC13" si="0">AB5-X5</f>
        <v>23.4</v>
      </c>
      <c r="AD5">
        <f t="shared" ref="AD5:AD13" si="1">ABS(AC5)</f>
        <v>23.4</v>
      </c>
      <c r="AE5">
        <f t="shared" ref="AE5:AE13" si="2">IF(AC5=0,"",_xlfn.RANK.AVG(AD5,$R$5:$R$40,1))</f>
        <v>18.5</v>
      </c>
      <c r="AF5">
        <f t="shared" ref="AF5:AF13" si="3">IF(AC5&gt;0,AE5,0)</f>
        <v>18.5</v>
      </c>
      <c r="AG5">
        <f t="shared" ref="AG5:AG13" si="4">IF(AC5&lt;0,AE5,0)</f>
        <v>0</v>
      </c>
    </row>
    <row r="6" spans="1:33">
      <c r="A6" t="s">
        <v>21</v>
      </c>
      <c r="B6">
        <v>42.4</v>
      </c>
      <c r="C6">
        <v>40</v>
      </c>
      <c r="D6">
        <v>30</v>
      </c>
      <c r="E6">
        <v>90</v>
      </c>
      <c r="F6">
        <v>20</v>
      </c>
      <c r="K6" t="s">
        <v>21</v>
      </c>
      <c r="L6" s="21">
        <v>42.4</v>
      </c>
      <c r="M6" s="21">
        <v>59.6</v>
      </c>
      <c r="N6" s="21">
        <v>87.6</v>
      </c>
      <c r="O6" s="21">
        <v>63.6</v>
      </c>
      <c r="P6" s="21">
        <v>82.2</v>
      </c>
      <c r="Q6">
        <f t="shared" ref="Q6:Q40" si="5">P6-L6</f>
        <v>39.8</v>
      </c>
      <c r="R6">
        <f t="shared" ref="R6:R40" si="6">ABS(Q6)</f>
        <v>39.8</v>
      </c>
      <c r="S6">
        <f t="shared" ref="S6:S40" si="7">IF(Q6=0,"",_xlfn.RANK.AVG(R6,$R$5:$R$40,1))</f>
        <v>27</v>
      </c>
      <c r="T6">
        <f t="shared" ref="T6:T40" si="8">IF(Q6&gt;0,S6,0)</f>
        <v>27</v>
      </c>
      <c r="U6">
        <f t="shared" ref="U6:U40" si="9">IF(Q6&lt;0,S6,0)</f>
        <v>0</v>
      </c>
      <c r="W6" t="s">
        <v>21</v>
      </c>
      <c r="X6" s="21">
        <v>42.4</v>
      </c>
      <c r="Y6" s="21">
        <v>59.6</v>
      </c>
      <c r="Z6" s="21">
        <v>87.6</v>
      </c>
      <c r="AA6" s="21">
        <v>63.6</v>
      </c>
      <c r="AB6" s="21">
        <v>82.2</v>
      </c>
      <c r="AC6">
        <f t="shared" si="0"/>
        <v>39.8</v>
      </c>
      <c r="AD6">
        <f t="shared" si="1"/>
        <v>39.8</v>
      </c>
      <c r="AE6">
        <f t="shared" si="2"/>
        <v>27</v>
      </c>
      <c r="AF6">
        <f t="shared" si="3"/>
        <v>27</v>
      </c>
      <c r="AG6">
        <f t="shared" si="4"/>
        <v>0</v>
      </c>
    </row>
    <row r="7" spans="1:33">
      <c r="A7" t="s">
        <v>22</v>
      </c>
      <c r="B7">
        <v>68</v>
      </c>
      <c r="C7">
        <v>70</v>
      </c>
      <c r="D7">
        <v>60</v>
      </c>
      <c r="E7">
        <v>90</v>
      </c>
      <c r="F7">
        <v>40</v>
      </c>
      <c r="K7" t="s">
        <v>22</v>
      </c>
      <c r="L7" s="21">
        <v>68</v>
      </c>
      <c r="M7" s="21">
        <v>51.2</v>
      </c>
      <c r="N7" s="21">
        <v>76.2</v>
      </c>
      <c r="O7" s="21">
        <v>45.2</v>
      </c>
      <c r="P7" s="21">
        <v>72</v>
      </c>
      <c r="Q7">
        <f t="shared" si="5"/>
        <v>4</v>
      </c>
      <c r="R7">
        <f t="shared" si="6"/>
        <v>4</v>
      </c>
      <c r="S7">
        <f t="shared" si="7"/>
        <v>1</v>
      </c>
      <c r="T7">
        <f t="shared" si="8"/>
        <v>1</v>
      </c>
      <c r="U7">
        <f t="shared" si="9"/>
        <v>0</v>
      </c>
      <c r="W7" t="s">
        <v>22</v>
      </c>
      <c r="X7" s="21">
        <v>68</v>
      </c>
      <c r="Y7" s="21">
        <v>51.2</v>
      </c>
      <c r="Z7" s="21">
        <v>76.2</v>
      </c>
      <c r="AA7" s="21">
        <v>45.2</v>
      </c>
      <c r="AB7" s="21">
        <v>72</v>
      </c>
      <c r="AC7">
        <f t="shared" si="0"/>
        <v>4</v>
      </c>
      <c r="AD7">
        <f t="shared" si="1"/>
        <v>4</v>
      </c>
      <c r="AE7">
        <f t="shared" si="2"/>
        <v>1</v>
      </c>
      <c r="AF7">
        <f t="shared" si="3"/>
        <v>1</v>
      </c>
      <c r="AG7">
        <f t="shared" si="4"/>
        <v>0</v>
      </c>
    </row>
    <row r="8" spans="1:33">
      <c r="A8" t="s">
        <v>23</v>
      </c>
      <c r="B8">
        <v>65.8</v>
      </c>
      <c r="C8">
        <v>65</v>
      </c>
      <c r="D8">
        <v>70</v>
      </c>
      <c r="E8">
        <v>80</v>
      </c>
      <c r="F8">
        <v>40</v>
      </c>
      <c r="K8" t="s">
        <v>23</v>
      </c>
      <c r="L8" s="21">
        <v>65.8</v>
      </c>
      <c r="M8" s="21">
        <v>78.8</v>
      </c>
      <c r="N8" s="21">
        <v>28</v>
      </c>
      <c r="O8" s="21">
        <v>82.2</v>
      </c>
      <c r="P8" s="21">
        <v>82.4</v>
      </c>
      <c r="Q8">
        <f t="shared" si="5"/>
        <v>16.6</v>
      </c>
      <c r="R8">
        <f t="shared" si="6"/>
        <v>16.6</v>
      </c>
      <c r="S8">
        <f t="shared" si="7"/>
        <v>5</v>
      </c>
      <c r="T8">
        <f t="shared" si="8"/>
        <v>5</v>
      </c>
      <c r="U8">
        <f t="shared" si="9"/>
        <v>0</v>
      </c>
      <c r="W8" t="s">
        <v>23</v>
      </c>
      <c r="X8" s="21">
        <v>65.8</v>
      </c>
      <c r="Y8" s="21">
        <v>78.8</v>
      </c>
      <c r="Z8" s="21">
        <v>28</v>
      </c>
      <c r="AA8" s="21">
        <v>82.2</v>
      </c>
      <c r="AB8" s="21">
        <v>82.4</v>
      </c>
      <c r="AC8">
        <f t="shared" si="0"/>
        <v>16.6</v>
      </c>
      <c r="AD8">
        <f t="shared" si="1"/>
        <v>16.6</v>
      </c>
      <c r="AE8">
        <f t="shared" si="2"/>
        <v>5</v>
      </c>
      <c r="AF8">
        <f t="shared" si="3"/>
        <v>5</v>
      </c>
      <c r="AG8">
        <f t="shared" si="4"/>
        <v>0</v>
      </c>
    </row>
    <row r="9" spans="1:33">
      <c r="A9" t="s">
        <v>24</v>
      </c>
      <c r="B9">
        <v>57.2</v>
      </c>
      <c r="C9">
        <v>60</v>
      </c>
      <c r="D9">
        <v>40</v>
      </c>
      <c r="E9">
        <v>90</v>
      </c>
      <c r="F9">
        <v>30</v>
      </c>
      <c r="K9" t="s">
        <v>24</v>
      </c>
      <c r="L9" s="21">
        <v>57.2</v>
      </c>
      <c r="M9" s="21">
        <v>81.2</v>
      </c>
      <c r="N9" s="21">
        <v>93.2</v>
      </c>
      <c r="O9" s="21">
        <v>72.2</v>
      </c>
      <c r="P9" s="21">
        <v>81.6</v>
      </c>
      <c r="Q9">
        <f t="shared" si="5"/>
        <v>24.4</v>
      </c>
      <c r="R9">
        <f t="shared" si="6"/>
        <v>24.4</v>
      </c>
      <c r="S9">
        <f t="shared" si="7"/>
        <v>20.5</v>
      </c>
      <c r="T9">
        <f t="shared" si="8"/>
        <v>20.5</v>
      </c>
      <c r="U9">
        <f t="shared" si="9"/>
        <v>0</v>
      </c>
      <c r="W9" t="s">
        <v>24</v>
      </c>
      <c r="X9" s="21">
        <v>57.2</v>
      </c>
      <c r="Y9" s="21">
        <v>81.2</v>
      </c>
      <c r="Z9" s="21">
        <v>93.2</v>
      </c>
      <c r="AA9" s="21">
        <v>72.2</v>
      </c>
      <c r="AB9" s="21">
        <v>81.6</v>
      </c>
      <c r="AC9">
        <f t="shared" si="0"/>
        <v>24.4</v>
      </c>
      <c r="AD9">
        <f t="shared" si="1"/>
        <v>24.4</v>
      </c>
      <c r="AE9">
        <f t="shared" si="2"/>
        <v>20.5</v>
      </c>
      <c r="AF9">
        <f t="shared" si="3"/>
        <v>20.5</v>
      </c>
      <c r="AG9">
        <f t="shared" si="4"/>
        <v>0</v>
      </c>
    </row>
    <row r="10" spans="1:33">
      <c r="A10" t="s">
        <v>25</v>
      </c>
      <c r="B10">
        <v>59.6</v>
      </c>
      <c r="C10">
        <v>65</v>
      </c>
      <c r="D10">
        <v>40</v>
      </c>
      <c r="E10">
        <v>85</v>
      </c>
      <c r="F10">
        <v>30</v>
      </c>
      <c r="K10" t="s">
        <v>25</v>
      </c>
      <c r="L10" s="21">
        <v>59.6</v>
      </c>
      <c r="M10" s="21">
        <v>78.4</v>
      </c>
      <c r="N10" s="21">
        <v>91.2</v>
      </c>
      <c r="O10" s="21">
        <v>74.2</v>
      </c>
      <c r="P10" s="21">
        <v>86</v>
      </c>
      <c r="Q10">
        <f t="shared" si="5"/>
        <v>26.4</v>
      </c>
      <c r="R10">
        <f t="shared" si="6"/>
        <v>26.4</v>
      </c>
      <c r="S10">
        <f t="shared" si="7"/>
        <v>23.5</v>
      </c>
      <c r="T10">
        <f t="shared" si="8"/>
        <v>23.5</v>
      </c>
      <c r="U10">
        <f t="shared" si="9"/>
        <v>0</v>
      </c>
      <c r="W10" t="s">
        <v>25</v>
      </c>
      <c r="X10" s="21">
        <v>59.6</v>
      </c>
      <c r="Y10" s="21">
        <v>78.4</v>
      </c>
      <c r="Z10" s="21">
        <v>91.2</v>
      </c>
      <c r="AA10" s="21">
        <v>74.2</v>
      </c>
      <c r="AB10" s="21">
        <v>86</v>
      </c>
      <c r="AC10">
        <f t="shared" si="0"/>
        <v>26.4</v>
      </c>
      <c r="AD10">
        <f t="shared" si="1"/>
        <v>26.4</v>
      </c>
      <c r="AE10">
        <f t="shared" si="2"/>
        <v>23.5</v>
      </c>
      <c r="AF10">
        <f t="shared" si="3"/>
        <v>23.5</v>
      </c>
      <c r="AG10">
        <f t="shared" si="4"/>
        <v>0</v>
      </c>
    </row>
    <row r="11" spans="1:33">
      <c r="A11" t="s">
        <v>26</v>
      </c>
      <c r="B11">
        <v>60.2</v>
      </c>
      <c r="C11">
        <v>65</v>
      </c>
      <c r="D11">
        <v>40</v>
      </c>
      <c r="E11">
        <v>90</v>
      </c>
      <c r="F11">
        <v>30</v>
      </c>
      <c r="K11" t="s">
        <v>26</v>
      </c>
      <c r="L11" s="21">
        <v>60.2</v>
      </c>
      <c r="M11" s="21">
        <v>79.2</v>
      </c>
      <c r="N11" s="21">
        <v>94</v>
      </c>
      <c r="O11" s="21">
        <v>74.2</v>
      </c>
      <c r="P11" s="21">
        <v>81.6</v>
      </c>
      <c r="Q11">
        <f t="shared" si="5"/>
        <v>21.4</v>
      </c>
      <c r="R11">
        <f t="shared" si="6"/>
        <v>21.4</v>
      </c>
      <c r="S11">
        <f t="shared" si="7"/>
        <v>11.5</v>
      </c>
      <c r="T11">
        <f t="shared" si="8"/>
        <v>11.5</v>
      </c>
      <c r="U11">
        <f t="shared" si="9"/>
        <v>0</v>
      </c>
      <c r="W11" t="s">
        <v>26</v>
      </c>
      <c r="X11" s="21">
        <v>60.2</v>
      </c>
      <c r="Y11" s="21">
        <v>79.2</v>
      </c>
      <c r="Z11" s="21">
        <v>94</v>
      </c>
      <c r="AA11" s="21">
        <v>74.2</v>
      </c>
      <c r="AB11" s="21">
        <v>81.6</v>
      </c>
      <c r="AC11">
        <f t="shared" si="0"/>
        <v>21.4</v>
      </c>
      <c r="AD11">
        <f t="shared" si="1"/>
        <v>21.4</v>
      </c>
      <c r="AE11">
        <f t="shared" si="2"/>
        <v>11.5</v>
      </c>
      <c r="AF11">
        <f t="shared" si="3"/>
        <v>11.5</v>
      </c>
      <c r="AG11">
        <f t="shared" si="4"/>
        <v>0</v>
      </c>
    </row>
    <row r="12" spans="1:33">
      <c r="A12" t="s">
        <v>27</v>
      </c>
      <c r="B12">
        <v>60.2</v>
      </c>
      <c r="C12">
        <v>65</v>
      </c>
      <c r="D12">
        <v>40</v>
      </c>
      <c r="E12">
        <v>90</v>
      </c>
      <c r="F12">
        <v>30</v>
      </c>
      <c r="K12" t="s">
        <v>27</v>
      </c>
      <c r="L12" s="21">
        <v>60.2</v>
      </c>
      <c r="M12" s="21">
        <v>79.6</v>
      </c>
      <c r="N12" s="21">
        <v>93.2</v>
      </c>
      <c r="O12" s="21">
        <v>83.4</v>
      </c>
      <c r="P12" s="21">
        <v>81.2</v>
      </c>
      <c r="Q12">
        <f t="shared" si="5"/>
        <v>21</v>
      </c>
      <c r="R12">
        <f t="shared" si="6"/>
        <v>21</v>
      </c>
      <c r="S12">
        <f t="shared" si="7"/>
        <v>10</v>
      </c>
      <c r="T12">
        <f t="shared" si="8"/>
        <v>10</v>
      </c>
      <c r="U12">
        <f t="shared" si="9"/>
        <v>0</v>
      </c>
      <c r="W12" t="s">
        <v>27</v>
      </c>
      <c r="X12" s="21">
        <v>60.2</v>
      </c>
      <c r="Y12" s="21">
        <v>79.6</v>
      </c>
      <c r="Z12" s="21">
        <v>93.2</v>
      </c>
      <c r="AA12" s="21">
        <v>83.4</v>
      </c>
      <c r="AB12" s="21">
        <v>81.2</v>
      </c>
      <c r="AC12">
        <f t="shared" si="0"/>
        <v>21</v>
      </c>
      <c r="AD12">
        <f t="shared" si="1"/>
        <v>21</v>
      </c>
      <c r="AE12">
        <f t="shared" si="2"/>
        <v>10</v>
      </c>
      <c r="AF12">
        <f t="shared" si="3"/>
        <v>10</v>
      </c>
      <c r="AG12">
        <f t="shared" si="4"/>
        <v>0</v>
      </c>
    </row>
    <row r="13" spans="1:33">
      <c r="A13" t="s">
        <v>28</v>
      </c>
      <c r="B13">
        <v>60.2</v>
      </c>
      <c r="C13">
        <v>65</v>
      </c>
      <c r="D13">
        <v>40</v>
      </c>
      <c r="E13">
        <v>90</v>
      </c>
      <c r="F13">
        <v>30</v>
      </c>
      <c r="K13" t="s">
        <v>28</v>
      </c>
      <c r="L13" s="21">
        <v>60.2</v>
      </c>
      <c r="M13" s="21">
        <v>85.6</v>
      </c>
      <c r="N13" s="21">
        <v>88.6</v>
      </c>
      <c r="O13" s="21">
        <v>78.2</v>
      </c>
      <c r="P13" s="21">
        <v>81.8</v>
      </c>
      <c r="Q13">
        <f t="shared" si="5"/>
        <v>21.6</v>
      </c>
      <c r="R13">
        <f t="shared" si="6"/>
        <v>21.6</v>
      </c>
      <c r="S13">
        <f t="shared" si="7"/>
        <v>13.5</v>
      </c>
      <c r="T13">
        <f t="shared" si="8"/>
        <v>13.5</v>
      </c>
      <c r="U13">
        <f t="shared" si="9"/>
        <v>0</v>
      </c>
      <c r="W13" t="s">
        <v>28</v>
      </c>
      <c r="X13" s="21">
        <v>60.2</v>
      </c>
      <c r="Y13" s="21">
        <v>85.6</v>
      </c>
      <c r="Z13" s="21">
        <v>88.6</v>
      </c>
      <c r="AA13" s="21">
        <v>78.2</v>
      </c>
      <c r="AB13" s="21">
        <v>81.8</v>
      </c>
      <c r="AC13">
        <f t="shared" si="0"/>
        <v>21.6</v>
      </c>
      <c r="AD13">
        <f t="shared" si="1"/>
        <v>21.6</v>
      </c>
      <c r="AE13">
        <f t="shared" si="2"/>
        <v>13.5</v>
      </c>
      <c r="AF13">
        <f t="shared" si="3"/>
        <v>13.5</v>
      </c>
      <c r="AG13">
        <f t="shared" si="4"/>
        <v>0</v>
      </c>
    </row>
    <row r="14" spans="1:33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K14" t="s">
        <v>29</v>
      </c>
      <c r="L14" s="21">
        <v>0</v>
      </c>
      <c r="M14" s="21">
        <v>77.8</v>
      </c>
      <c r="N14" s="21">
        <v>45.2</v>
      </c>
      <c r="O14" s="21">
        <v>18.8</v>
      </c>
      <c r="P14" s="21">
        <v>83</v>
      </c>
      <c r="Q14">
        <f t="shared" si="5"/>
        <v>83</v>
      </c>
      <c r="R14">
        <f t="shared" si="6"/>
        <v>83</v>
      </c>
      <c r="S14">
        <f t="shared" si="7"/>
        <v>36</v>
      </c>
      <c r="T14">
        <f t="shared" si="8"/>
        <v>36</v>
      </c>
      <c r="U14">
        <f t="shared" si="9"/>
        <v>0</v>
      </c>
      <c r="W14" t="s">
        <v>30</v>
      </c>
      <c r="X14" s="21">
        <v>64.6</v>
      </c>
      <c r="Y14" s="21">
        <v>83.6</v>
      </c>
      <c r="Z14" s="21">
        <v>92.6</v>
      </c>
      <c r="AA14" s="21">
        <v>72.2</v>
      </c>
      <c r="AB14" s="21">
        <v>86</v>
      </c>
      <c r="AC14">
        <f t="shared" ref="AC14:AC39" si="10">AB14-X14</f>
        <v>21.4</v>
      </c>
      <c r="AD14">
        <f t="shared" ref="AD14:AD39" si="11">ABS(AC14)</f>
        <v>21.4</v>
      </c>
      <c r="AE14">
        <f t="shared" ref="AE14:AE39" si="12">IF(AC14=0,"",_xlfn.RANK.AVG(AD14,$R$5:$R$40,1))</f>
        <v>11.5</v>
      </c>
      <c r="AF14">
        <f t="shared" ref="AF14:AF39" si="13">IF(AC14&gt;0,AE14,0)</f>
        <v>11.5</v>
      </c>
      <c r="AG14">
        <f t="shared" ref="AG14:AG39" si="14">IF(AC14&lt;0,AE14,0)</f>
        <v>0</v>
      </c>
    </row>
    <row r="15" spans="1:33">
      <c r="A15" t="s">
        <v>30</v>
      </c>
      <c r="B15">
        <v>64.6</v>
      </c>
      <c r="C15">
        <v>60</v>
      </c>
      <c r="D15">
        <v>70</v>
      </c>
      <c r="E15">
        <v>95</v>
      </c>
      <c r="F15">
        <v>40</v>
      </c>
      <c r="K15" t="s">
        <v>30</v>
      </c>
      <c r="L15" s="21">
        <v>64.6</v>
      </c>
      <c r="M15" s="21">
        <v>83.6</v>
      </c>
      <c r="N15" s="21">
        <v>92.6</v>
      </c>
      <c r="O15" s="21">
        <v>72.2</v>
      </c>
      <c r="P15" s="21">
        <v>86</v>
      </c>
      <c r="Q15">
        <f t="shared" si="5"/>
        <v>21.4</v>
      </c>
      <c r="R15">
        <f t="shared" si="6"/>
        <v>21.4</v>
      </c>
      <c r="S15">
        <f t="shared" si="7"/>
        <v>11.5</v>
      </c>
      <c r="T15">
        <f t="shared" si="8"/>
        <v>11.5</v>
      </c>
      <c r="U15">
        <f t="shared" si="9"/>
        <v>0</v>
      </c>
      <c r="W15" t="s">
        <v>31</v>
      </c>
      <c r="X15" s="21">
        <v>41.6</v>
      </c>
      <c r="Y15" s="21">
        <v>77.8</v>
      </c>
      <c r="Z15" s="21">
        <v>93.2</v>
      </c>
      <c r="AA15" s="21">
        <v>88</v>
      </c>
      <c r="AB15" s="21">
        <v>81.6</v>
      </c>
      <c r="AC15">
        <f t="shared" si="10"/>
        <v>40</v>
      </c>
      <c r="AD15">
        <f t="shared" si="11"/>
        <v>40</v>
      </c>
      <c r="AE15">
        <f t="shared" si="12"/>
        <v>28</v>
      </c>
      <c r="AF15">
        <f t="shared" si="13"/>
        <v>28</v>
      </c>
      <c r="AG15">
        <f t="shared" si="14"/>
        <v>0</v>
      </c>
    </row>
    <row r="16" spans="1:33">
      <c r="A16" t="s">
        <v>31</v>
      </c>
      <c r="B16">
        <v>41.6</v>
      </c>
      <c r="C16">
        <v>40</v>
      </c>
      <c r="D16">
        <v>30</v>
      </c>
      <c r="E16">
        <v>90</v>
      </c>
      <c r="F16">
        <v>10</v>
      </c>
      <c r="K16" t="s">
        <v>31</v>
      </c>
      <c r="L16" s="21">
        <v>41.6</v>
      </c>
      <c r="M16" s="21">
        <v>77.8</v>
      </c>
      <c r="N16" s="21">
        <v>93.2</v>
      </c>
      <c r="O16" s="21">
        <v>88</v>
      </c>
      <c r="P16" s="21">
        <v>81.6</v>
      </c>
      <c r="Q16">
        <f t="shared" si="5"/>
        <v>40</v>
      </c>
      <c r="R16">
        <f t="shared" si="6"/>
        <v>40</v>
      </c>
      <c r="S16">
        <f t="shared" si="7"/>
        <v>28</v>
      </c>
      <c r="T16">
        <f t="shared" si="8"/>
        <v>28</v>
      </c>
      <c r="U16">
        <f t="shared" si="9"/>
        <v>0</v>
      </c>
      <c r="W16" t="s">
        <v>32</v>
      </c>
      <c r="X16" s="21">
        <v>59.6</v>
      </c>
      <c r="Y16" s="21">
        <v>77.2</v>
      </c>
      <c r="Z16" s="21">
        <v>92.6</v>
      </c>
      <c r="AA16" s="21">
        <v>85.8</v>
      </c>
      <c r="AB16" s="21">
        <v>81.6</v>
      </c>
      <c r="AC16">
        <f t="shared" si="10"/>
        <v>22</v>
      </c>
      <c r="AD16">
        <f t="shared" si="11"/>
        <v>22</v>
      </c>
      <c r="AE16">
        <f t="shared" si="12"/>
        <v>15</v>
      </c>
      <c r="AF16">
        <f t="shared" si="13"/>
        <v>15</v>
      </c>
      <c r="AG16">
        <f t="shared" si="14"/>
        <v>0</v>
      </c>
    </row>
    <row r="17" spans="1:33">
      <c r="A17" t="s">
        <v>32</v>
      </c>
      <c r="B17">
        <v>59.6</v>
      </c>
      <c r="C17">
        <v>65</v>
      </c>
      <c r="D17">
        <v>40</v>
      </c>
      <c r="E17">
        <v>85</v>
      </c>
      <c r="F17">
        <v>30</v>
      </c>
      <c r="K17" t="s">
        <v>32</v>
      </c>
      <c r="L17" s="21">
        <v>59.6</v>
      </c>
      <c r="M17" s="21">
        <v>77.2</v>
      </c>
      <c r="N17" s="21">
        <v>92.6</v>
      </c>
      <c r="O17" s="21">
        <v>85.8</v>
      </c>
      <c r="P17" s="21">
        <v>81.6</v>
      </c>
      <c r="Q17">
        <f t="shared" si="5"/>
        <v>22</v>
      </c>
      <c r="R17">
        <f t="shared" si="6"/>
        <v>22</v>
      </c>
      <c r="S17">
        <f t="shared" si="7"/>
        <v>15</v>
      </c>
      <c r="T17">
        <f t="shared" si="8"/>
        <v>15</v>
      </c>
      <c r="U17">
        <f t="shared" si="9"/>
        <v>0</v>
      </c>
      <c r="W17" t="s">
        <v>33</v>
      </c>
      <c r="X17" s="21">
        <v>59.6</v>
      </c>
      <c r="Y17" s="21">
        <v>78.8</v>
      </c>
      <c r="Z17" s="21">
        <v>80.4</v>
      </c>
      <c r="AA17" s="21">
        <v>67.4</v>
      </c>
      <c r="AB17" s="21">
        <v>86</v>
      </c>
      <c r="AC17">
        <f t="shared" si="10"/>
        <v>26.4</v>
      </c>
      <c r="AD17">
        <f t="shared" si="11"/>
        <v>26.4</v>
      </c>
      <c r="AE17">
        <f t="shared" si="12"/>
        <v>23.5</v>
      </c>
      <c r="AF17">
        <f t="shared" si="13"/>
        <v>23.5</v>
      </c>
      <c r="AG17">
        <f t="shared" si="14"/>
        <v>0</v>
      </c>
    </row>
    <row r="18" spans="1:33">
      <c r="A18" t="s">
        <v>33</v>
      </c>
      <c r="B18">
        <v>59.6</v>
      </c>
      <c r="C18">
        <v>65</v>
      </c>
      <c r="D18">
        <v>40</v>
      </c>
      <c r="E18">
        <v>85</v>
      </c>
      <c r="F18">
        <v>30</v>
      </c>
      <c r="K18" t="s">
        <v>33</v>
      </c>
      <c r="L18" s="21">
        <v>59.6</v>
      </c>
      <c r="M18" s="21">
        <v>78.8</v>
      </c>
      <c r="N18" s="21">
        <v>80.4</v>
      </c>
      <c r="O18" s="21">
        <v>67.4</v>
      </c>
      <c r="P18" s="21">
        <v>86</v>
      </c>
      <c r="Q18">
        <f t="shared" si="5"/>
        <v>26.4</v>
      </c>
      <c r="R18">
        <f t="shared" si="6"/>
        <v>26.4</v>
      </c>
      <c r="S18">
        <f t="shared" si="7"/>
        <v>23.5</v>
      </c>
      <c r="T18">
        <f t="shared" si="8"/>
        <v>23.5</v>
      </c>
      <c r="U18">
        <f t="shared" si="9"/>
        <v>0</v>
      </c>
      <c r="W18" t="s">
        <v>34</v>
      </c>
      <c r="X18" s="21">
        <v>60.2</v>
      </c>
      <c r="Y18" s="21">
        <v>79.6</v>
      </c>
      <c r="Z18" s="21">
        <v>76.2</v>
      </c>
      <c r="AA18" s="21">
        <v>69.2</v>
      </c>
      <c r="AB18" s="21">
        <v>81.8</v>
      </c>
      <c r="AC18">
        <f t="shared" si="10"/>
        <v>21.6</v>
      </c>
      <c r="AD18">
        <f t="shared" si="11"/>
        <v>21.6</v>
      </c>
      <c r="AE18">
        <f t="shared" si="12"/>
        <v>13.5</v>
      </c>
      <c r="AF18">
        <f t="shared" si="13"/>
        <v>13.5</v>
      </c>
      <c r="AG18">
        <f t="shared" si="14"/>
        <v>0</v>
      </c>
    </row>
    <row r="19" spans="1:33">
      <c r="A19" t="s">
        <v>34</v>
      </c>
      <c r="B19">
        <v>60.2</v>
      </c>
      <c r="C19">
        <v>65</v>
      </c>
      <c r="D19">
        <v>40</v>
      </c>
      <c r="E19">
        <v>90</v>
      </c>
      <c r="F19">
        <v>30</v>
      </c>
      <c r="K19" t="s">
        <v>34</v>
      </c>
      <c r="L19" s="21">
        <v>60.2</v>
      </c>
      <c r="M19" s="21">
        <v>79.6</v>
      </c>
      <c r="N19" s="21">
        <v>76.2</v>
      </c>
      <c r="O19" s="21">
        <v>69.2</v>
      </c>
      <c r="P19" s="21">
        <v>81.8</v>
      </c>
      <c r="Q19">
        <f t="shared" si="5"/>
        <v>21.6</v>
      </c>
      <c r="R19">
        <f t="shared" si="6"/>
        <v>21.6</v>
      </c>
      <c r="S19">
        <f t="shared" si="7"/>
        <v>13.5</v>
      </c>
      <c r="T19">
        <f t="shared" si="8"/>
        <v>13.5</v>
      </c>
      <c r="U19">
        <f t="shared" si="9"/>
        <v>0</v>
      </c>
      <c r="W19" t="s">
        <v>35</v>
      </c>
      <c r="X19" s="21">
        <v>39.6</v>
      </c>
      <c r="Y19" s="21">
        <v>62</v>
      </c>
      <c r="Z19" s="21">
        <v>81.6</v>
      </c>
      <c r="AA19" s="21">
        <v>67.4</v>
      </c>
      <c r="AB19" s="21">
        <v>82.2</v>
      </c>
      <c r="AC19">
        <f t="shared" si="10"/>
        <v>42.6</v>
      </c>
      <c r="AD19">
        <f t="shared" si="11"/>
        <v>42.6</v>
      </c>
      <c r="AE19">
        <f t="shared" si="12"/>
        <v>29</v>
      </c>
      <c r="AF19">
        <f t="shared" si="13"/>
        <v>29</v>
      </c>
      <c r="AG19">
        <f t="shared" si="14"/>
        <v>0</v>
      </c>
    </row>
    <row r="20" spans="1:33">
      <c r="A20" t="s">
        <v>35</v>
      </c>
      <c r="B20">
        <v>39.6</v>
      </c>
      <c r="C20">
        <v>40</v>
      </c>
      <c r="D20">
        <v>20</v>
      </c>
      <c r="E20">
        <v>90</v>
      </c>
      <c r="F20">
        <v>10</v>
      </c>
      <c r="K20" t="s">
        <v>35</v>
      </c>
      <c r="L20" s="21">
        <v>39.6</v>
      </c>
      <c r="M20" s="21">
        <v>62</v>
      </c>
      <c r="N20" s="21">
        <v>81.6</v>
      </c>
      <c r="O20" s="21">
        <v>67.4</v>
      </c>
      <c r="P20" s="21">
        <v>82.2</v>
      </c>
      <c r="Q20">
        <f t="shared" si="5"/>
        <v>42.6</v>
      </c>
      <c r="R20">
        <f t="shared" si="6"/>
        <v>42.6</v>
      </c>
      <c r="S20">
        <f t="shared" si="7"/>
        <v>29</v>
      </c>
      <c r="T20">
        <f t="shared" si="8"/>
        <v>29</v>
      </c>
      <c r="U20">
        <f t="shared" si="9"/>
        <v>0</v>
      </c>
      <c r="W20" t="s">
        <v>36</v>
      </c>
      <c r="X20" s="21">
        <v>56.4</v>
      </c>
      <c r="Y20" s="21">
        <v>66</v>
      </c>
      <c r="Z20" s="21">
        <v>76.6</v>
      </c>
      <c r="AA20" s="21">
        <v>45.2</v>
      </c>
      <c r="AB20" s="21">
        <v>61</v>
      </c>
      <c r="AC20">
        <f t="shared" si="10"/>
        <v>4.6</v>
      </c>
      <c r="AD20">
        <f t="shared" si="11"/>
        <v>4.6</v>
      </c>
      <c r="AE20">
        <f t="shared" si="12"/>
        <v>2</v>
      </c>
      <c r="AF20">
        <f t="shared" si="13"/>
        <v>2</v>
      </c>
      <c r="AG20">
        <f t="shared" si="14"/>
        <v>0</v>
      </c>
    </row>
    <row r="21" spans="1:33">
      <c r="A21" t="s">
        <v>36</v>
      </c>
      <c r="B21">
        <v>56.4</v>
      </c>
      <c r="C21">
        <v>60</v>
      </c>
      <c r="D21">
        <v>40</v>
      </c>
      <c r="E21">
        <v>90</v>
      </c>
      <c r="F21">
        <v>20</v>
      </c>
      <c r="K21" t="s">
        <v>36</v>
      </c>
      <c r="L21" s="21">
        <v>56.4</v>
      </c>
      <c r="M21" s="21">
        <v>66</v>
      </c>
      <c r="N21" s="21">
        <v>76.6</v>
      </c>
      <c r="O21" s="21">
        <v>45.2</v>
      </c>
      <c r="P21" s="21">
        <v>61</v>
      </c>
      <c r="Q21">
        <f t="shared" si="5"/>
        <v>4.6</v>
      </c>
      <c r="R21">
        <f t="shared" si="6"/>
        <v>4.6</v>
      </c>
      <c r="S21">
        <f t="shared" si="7"/>
        <v>2</v>
      </c>
      <c r="T21">
        <f t="shared" si="8"/>
        <v>2</v>
      </c>
      <c r="U21">
        <f t="shared" si="9"/>
        <v>0</v>
      </c>
      <c r="W21" t="s">
        <v>37</v>
      </c>
      <c r="X21" s="21">
        <v>60.2</v>
      </c>
      <c r="Y21" s="21">
        <v>85.4</v>
      </c>
      <c r="Z21" s="21">
        <v>92.6</v>
      </c>
      <c r="AA21" s="21">
        <v>69.2</v>
      </c>
      <c r="AB21" s="21">
        <v>80.6</v>
      </c>
      <c r="AC21">
        <f t="shared" si="10"/>
        <v>20.4</v>
      </c>
      <c r="AD21">
        <f t="shared" si="11"/>
        <v>20.4</v>
      </c>
      <c r="AE21">
        <f t="shared" si="12"/>
        <v>9</v>
      </c>
      <c r="AF21">
        <f t="shared" si="13"/>
        <v>9</v>
      </c>
      <c r="AG21">
        <f t="shared" si="14"/>
        <v>0</v>
      </c>
    </row>
    <row r="22" spans="1:33">
      <c r="A22" t="s">
        <v>37</v>
      </c>
      <c r="B22">
        <v>60.2</v>
      </c>
      <c r="C22">
        <v>65</v>
      </c>
      <c r="D22">
        <v>40</v>
      </c>
      <c r="E22">
        <v>90</v>
      </c>
      <c r="F22">
        <v>30</v>
      </c>
      <c r="K22" t="s">
        <v>37</v>
      </c>
      <c r="L22" s="21">
        <v>60.2</v>
      </c>
      <c r="M22" s="21">
        <v>85.4</v>
      </c>
      <c r="N22" s="21">
        <v>92.6</v>
      </c>
      <c r="O22" s="21">
        <v>69.2</v>
      </c>
      <c r="P22" s="21">
        <v>80.6</v>
      </c>
      <c r="Q22">
        <f t="shared" si="5"/>
        <v>20.4</v>
      </c>
      <c r="R22">
        <f t="shared" si="6"/>
        <v>20.4</v>
      </c>
      <c r="S22">
        <f t="shared" si="7"/>
        <v>9</v>
      </c>
      <c r="T22">
        <f t="shared" si="8"/>
        <v>9</v>
      </c>
      <c r="U22">
        <f t="shared" si="9"/>
        <v>0</v>
      </c>
      <c r="W22" t="s">
        <v>38</v>
      </c>
      <c r="X22" s="21">
        <v>64.6</v>
      </c>
      <c r="Y22" s="21">
        <v>83.6</v>
      </c>
      <c r="Z22" s="21">
        <v>95</v>
      </c>
      <c r="AA22" s="21">
        <v>74.2</v>
      </c>
      <c r="AB22" s="21">
        <v>93.2</v>
      </c>
      <c r="AC22">
        <f t="shared" si="10"/>
        <v>28.6</v>
      </c>
      <c r="AD22">
        <f t="shared" si="11"/>
        <v>28.6</v>
      </c>
      <c r="AE22">
        <f t="shared" si="12"/>
        <v>25</v>
      </c>
      <c r="AF22">
        <f t="shared" si="13"/>
        <v>25</v>
      </c>
      <c r="AG22">
        <f t="shared" si="14"/>
        <v>0</v>
      </c>
    </row>
    <row r="23" spans="1:33">
      <c r="A23" t="s">
        <v>38</v>
      </c>
      <c r="B23">
        <v>64.6</v>
      </c>
      <c r="C23">
        <v>60</v>
      </c>
      <c r="D23">
        <v>70</v>
      </c>
      <c r="E23">
        <v>95</v>
      </c>
      <c r="F23">
        <v>40</v>
      </c>
      <c r="K23" t="s">
        <v>38</v>
      </c>
      <c r="L23" s="21">
        <v>64.6</v>
      </c>
      <c r="M23" s="21">
        <v>83.6</v>
      </c>
      <c r="N23" s="21">
        <v>95</v>
      </c>
      <c r="O23" s="21">
        <v>74.2</v>
      </c>
      <c r="P23" s="21">
        <v>93.2</v>
      </c>
      <c r="Q23">
        <f t="shared" si="5"/>
        <v>28.6</v>
      </c>
      <c r="R23">
        <f t="shared" si="6"/>
        <v>28.6</v>
      </c>
      <c r="S23">
        <f t="shared" si="7"/>
        <v>25</v>
      </c>
      <c r="T23">
        <f t="shared" si="8"/>
        <v>25</v>
      </c>
      <c r="U23">
        <f t="shared" si="9"/>
        <v>0</v>
      </c>
      <c r="W23" t="s">
        <v>39</v>
      </c>
      <c r="X23" s="21">
        <v>24.4</v>
      </c>
      <c r="Y23" s="21">
        <v>43.6</v>
      </c>
      <c r="Z23" s="21">
        <v>92.6</v>
      </c>
      <c r="AA23" s="21">
        <v>81.2</v>
      </c>
      <c r="AB23" s="21">
        <v>81.2</v>
      </c>
      <c r="AC23">
        <f t="shared" si="10"/>
        <v>56.8</v>
      </c>
      <c r="AD23">
        <f t="shared" si="11"/>
        <v>56.8</v>
      </c>
      <c r="AE23">
        <f t="shared" si="12"/>
        <v>33</v>
      </c>
      <c r="AF23">
        <f t="shared" si="13"/>
        <v>33</v>
      </c>
      <c r="AG23">
        <f t="shared" si="14"/>
        <v>0</v>
      </c>
    </row>
    <row r="24" spans="1:33">
      <c r="A24" t="s">
        <v>39</v>
      </c>
      <c r="B24">
        <v>24.4</v>
      </c>
      <c r="C24">
        <v>20</v>
      </c>
      <c r="D24">
        <v>10</v>
      </c>
      <c r="E24">
        <v>80</v>
      </c>
      <c r="F24">
        <v>10</v>
      </c>
      <c r="K24" t="s">
        <v>39</v>
      </c>
      <c r="L24" s="21">
        <v>24.4</v>
      </c>
      <c r="M24" s="21">
        <v>43.6</v>
      </c>
      <c r="N24" s="21">
        <v>92.6</v>
      </c>
      <c r="O24" s="21">
        <v>81.2</v>
      </c>
      <c r="P24" s="21">
        <v>81.2</v>
      </c>
      <c r="Q24">
        <f t="shared" si="5"/>
        <v>56.8</v>
      </c>
      <c r="R24">
        <f t="shared" si="6"/>
        <v>56.8</v>
      </c>
      <c r="S24">
        <f t="shared" si="7"/>
        <v>33</v>
      </c>
      <c r="T24">
        <f t="shared" si="8"/>
        <v>33</v>
      </c>
      <c r="U24">
        <f t="shared" si="9"/>
        <v>0</v>
      </c>
      <c r="W24" t="s">
        <v>40</v>
      </c>
      <c r="X24" s="21">
        <v>57.2</v>
      </c>
      <c r="Y24" s="21">
        <v>77.8</v>
      </c>
      <c r="Z24" s="21">
        <v>93.2</v>
      </c>
      <c r="AA24" s="21">
        <v>80.6</v>
      </c>
      <c r="AB24" s="21">
        <v>81.6</v>
      </c>
      <c r="AC24">
        <f t="shared" si="10"/>
        <v>24.4</v>
      </c>
      <c r="AD24">
        <f t="shared" si="11"/>
        <v>24.4</v>
      </c>
      <c r="AE24">
        <f t="shared" si="12"/>
        <v>20.5</v>
      </c>
      <c r="AF24">
        <f t="shared" si="13"/>
        <v>20.5</v>
      </c>
      <c r="AG24">
        <f t="shared" si="14"/>
        <v>0</v>
      </c>
    </row>
    <row r="25" spans="1:33">
      <c r="A25" t="s">
        <v>40</v>
      </c>
      <c r="B25">
        <v>57.2</v>
      </c>
      <c r="C25">
        <v>60</v>
      </c>
      <c r="D25">
        <v>40</v>
      </c>
      <c r="E25">
        <v>90</v>
      </c>
      <c r="F25">
        <v>30</v>
      </c>
      <c r="K25" t="s">
        <v>40</v>
      </c>
      <c r="L25" s="21">
        <v>57.2</v>
      </c>
      <c r="M25" s="21">
        <v>77.8</v>
      </c>
      <c r="N25" s="21">
        <v>93.2</v>
      </c>
      <c r="O25" s="21">
        <v>80.6</v>
      </c>
      <c r="P25" s="21">
        <v>81.6</v>
      </c>
      <c r="Q25">
        <f t="shared" si="5"/>
        <v>24.4</v>
      </c>
      <c r="R25">
        <f t="shared" si="6"/>
        <v>24.4</v>
      </c>
      <c r="S25">
        <f t="shared" si="7"/>
        <v>20.5</v>
      </c>
      <c r="T25">
        <f t="shared" si="8"/>
        <v>20.5</v>
      </c>
      <c r="U25">
        <f t="shared" si="9"/>
        <v>0</v>
      </c>
      <c r="W25" t="s">
        <v>41</v>
      </c>
      <c r="X25" s="21">
        <v>57.2</v>
      </c>
      <c r="Y25" s="21">
        <v>80.6</v>
      </c>
      <c r="Z25" s="21">
        <v>47.2</v>
      </c>
      <c r="AA25" s="21">
        <v>40.4</v>
      </c>
      <c r="AB25" s="21">
        <v>43.6</v>
      </c>
      <c r="AC25">
        <f t="shared" si="10"/>
        <v>-13.6</v>
      </c>
      <c r="AD25">
        <f t="shared" si="11"/>
        <v>13.6</v>
      </c>
      <c r="AE25">
        <f t="shared" si="12"/>
        <v>4</v>
      </c>
      <c r="AF25">
        <f t="shared" si="13"/>
        <v>0</v>
      </c>
      <c r="AG25">
        <f t="shared" si="14"/>
        <v>4</v>
      </c>
    </row>
    <row r="26" spans="1:33">
      <c r="A26" t="s">
        <v>41</v>
      </c>
      <c r="B26">
        <v>57.2</v>
      </c>
      <c r="C26">
        <v>60</v>
      </c>
      <c r="D26">
        <v>40</v>
      </c>
      <c r="E26">
        <v>90</v>
      </c>
      <c r="F26">
        <v>30</v>
      </c>
      <c r="K26" t="s">
        <v>41</v>
      </c>
      <c r="L26" s="21">
        <v>57.2</v>
      </c>
      <c r="M26" s="21">
        <v>80.6</v>
      </c>
      <c r="N26" s="21">
        <v>47.2</v>
      </c>
      <c r="O26" s="21">
        <v>40.4</v>
      </c>
      <c r="P26" s="21">
        <v>43.6</v>
      </c>
      <c r="Q26">
        <f t="shared" si="5"/>
        <v>-13.6</v>
      </c>
      <c r="R26">
        <f t="shared" si="6"/>
        <v>13.6</v>
      </c>
      <c r="S26">
        <f t="shared" si="7"/>
        <v>4</v>
      </c>
      <c r="T26">
        <f t="shared" si="8"/>
        <v>0</v>
      </c>
      <c r="U26">
        <f t="shared" si="9"/>
        <v>4</v>
      </c>
      <c r="W26" t="s">
        <v>42</v>
      </c>
      <c r="X26" s="21">
        <v>57.2</v>
      </c>
      <c r="Y26" s="21">
        <v>79.4</v>
      </c>
      <c r="Z26" s="21">
        <v>91.6</v>
      </c>
      <c r="AA26" s="21">
        <v>75.4</v>
      </c>
      <c r="AB26" s="21">
        <v>80.6</v>
      </c>
      <c r="AC26">
        <f t="shared" si="10"/>
        <v>23.4</v>
      </c>
      <c r="AD26">
        <f t="shared" si="11"/>
        <v>23.4</v>
      </c>
      <c r="AE26">
        <f t="shared" si="12"/>
        <v>18.5</v>
      </c>
      <c r="AF26">
        <f t="shared" si="13"/>
        <v>18.5</v>
      </c>
      <c r="AG26">
        <f t="shared" si="14"/>
        <v>0</v>
      </c>
    </row>
    <row r="27" spans="1:33">
      <c r="A27" t="s">
        <v>42</v>
      </c>
      <c r="B27">
        <v>57.2</v>
      </c>
      <c r="C27">
        <v>60</v>
      </c>
      <c r="D27">
        <v>40</v>
      </c>
      <c r="E27">
        <v>90</v>
      </c>
      <c r="F27">
        <v>30</v>
      </c>
      <c r="K27" t="s">
        <v>42</v>
      </c>
      <c r="L27" s="21">
        <v>57.2</v>
      </c>
      <c r="M27" s="21">
        <v>79.4</v>
      </c>
      <c r="N27" s="21">
        <v>91.6</v>
      </c>
      <c r="O27" s="21">
        <v>75.4</v>
      </c>
      <c r="P27" s="21">
        <v>80.6</v>
      </c>
      <c r="Q27">
        <f t="shared" si="5"/>
        <v>23.4</v>
      </c>
      <c r="R27">
        <f t="shared" si="6"/>
        <v>23.4</v>
      </c>
      <c r="S27">
        <f t="shared" si="7"/>
        <v>18.5</v>
      </c>
      <c r="T27">
        <f t="shared" si="8"/>
        <v>18.5</v>
      </c>
      <c r="U27">
        <f t="shared" si="9"/>
        <v>0</v>
      </c>
      <c r="W27" t="s">
        <v>43</v>
      </c>
      <c r="X27" s="21">
        <v>42.4</v>
      </c>
      <c r="Y27" s="21">
        <v>9</v>
      </c>
      <c r="Z27" s="21">
        <v>67.2</v>
      </c>
      <c r="AA27" s="21">
        <v>76.2</v>
      </c>
      <c r="AB27" s="21">
        <v>81.6</v>
      </c>
      <c r="AC27">
        <f t="shared" si="10"/>
        <v>39.2</v>
      </c>
      <c r="AD27">
        <f t="shared" si="11"/>
        <v>39.2</v>
      </c>
      <c r="AE27">
        <f t="shared" si="12"/>
        <v>26</v>
      </c>
      <c r="AF27">
        <f t="shared" si="13"/>
        <v>26</v>
      </c>
      <c r="AG27">
        <f t="shared" si="14"/>
        <v>0</v>
      </c>
    </row>
    <row r="28" spans="1:33">
      <c r="A28" t="s">
        <v>43</v>
      </c>
      <c r="B28">
        <v>42.4</v>
      </c>
      <c r="C28">
        <v>40</v>
      </c>
      <c r="D28">
        <v>30</v>
      </c>
      <c r="E28">
        <v>90</v>
      </c>
      <c r="F28">
        <v>20</v>
      </c>
      <c r="K28" t="s">
        <v>43</v>
      </c>
      <c r="L28" s="21">
        <v>42.4</v>
      </c>
      <c r="M28" s="21">
        <v>9</v>
      </c>
      <c r="N28" s="21">
        <v>67.2</v>
      </c>
      <c r="O28" s="21">
        <v>76.2</v>
      </c>
      <c r="P28" s="21">
        <v>81.6</v>
      </c>
      <c r="Q28">
        <f t="shared" si="5"/>
        <v>39.2</v>
      </c>
      <c r="R28">
        <f t="shared" si="6"/>
        <v>39.2</v>
      </c>
      <c r="S28">
        <f t="shared" si="7"/>
        <v>26</v>
      </c>
      <c r="T28">
        <f t="shared" si="8"/>
        <v>26</v>
      </c>
      <c r="U28">
        <f t="shared" si="9"/>
        <v>0</v>
      </c>
      <c r="W28" t="s">
        <v>44</v>
      </c>
      <c r="X28" s="21">
        <v>63.6</v>
      </c>
      <c r="Y28" s="21">
        <v>91.6</v>
      </c>
      <c r="Z28" s="21">
        <v>92.6</v>
      </c>
      <c r="AA28" s="21">
        <v>76.4</v>
      </c>
      <c r="AB28" s="21">
        <v>83</v>
      </c>
      <c r="AC28">
        <f t="shared" si="10"/>
        <v>19.4</v>
      </c>
      <c r="AD28">
        <f t="shared" si="11"/>
        <v>19.4</v>
      </c>
      <c r="AE28">
        <f t="shared" si="12"/>
        <v>8</v>
      </c>
      <c r="AF28">
        <f t="shared" si="13"/>
        <v>8</v>
      </c>
      <c r="AG28">
        <f t="shared" si="14"/>
        <v>0</v>
      </c>
    </row>
    <row r="29" spans="1:33">
      <c r="A29" t="s">
        <v>44</v>
      </c>
      <c r="B29">
        <v>63.6</v>
      </c>
      <c r="C29">
        <v>60</v>
      </c>
      <c r="D29">
        <v>65</v>
      </c>
      <c r="E29">
        <v>95</v>
      </c>
      <c r="F29">
        <v>40</v>
      </c>
      <c r="K29" t="s">
        <v>44</v>
      </c>
      <c r="L29" s="21">
        <v>63.6</v>
      </c>
      <c r="M29" s="21">
        <v>91.6</v>
      </c>
      <c r="N29" s="21">
        <v>92.6</v>
      </c>
      <c r="O29" s="21">
        <v>76.4</v>
      </c>
      <c r="P29" s="21">
        <v>83</v>
      </c>
      <c r="Q29">
        <f t="shared" si="5"/>
        <v>19.4</v>
      </c>
      <c r="R29">
        <f t="shared" si="6"/>
        <v>19.4</v>
      </c>
      <c r="S29">
        <f t="shared" si="7"/>
        <v>8</v>
      </c>
      <c r="T29">
        <f t="shared" si="8"/>
        <v>8</v>
      </c>
      <c r="U29">
        <f t="shared" si="9"/>
        <v>0</v>
      </c>
      <c r="W29" t="s">
        <v>45</v>
      </c>
      <c r="X29" s="21">
        <v>33.6</v>
      </c>
      <c r="Y29" s="21">
        <v>55.2</v>
      </c>
      <c r="Z29" s="21">
        <v>90</v>
      </c>
      <c r="AA29" s="21">
        <v>57.6</v>
      </c>
      <c r="AB29" s="21">
        <v>81.8</v>
      </c>
      <c r="AC29">
        <f t="shared" si="10"/>
        <v>48.2</v>
      </c>
      <c r="AD29">
        <f t="shared" si="11"/>
        <v>48.2</v>
      </c>
      <c r="AE29">
        <f t="shared" si="12"/>
        <v>30</v>
      </c>
      <c r="AF29">
        <f t="shared" si="13"/>
        <v>30</v>
      </c>
      <c r="AG29">
        <f t="shared" si="14"/>
        <v>0</v>
      </c>
    </row>
    <row r="30" spans="1:33">
      <c r="A30" t="s">
        <v>46</v>
      </c>
      <c r="B30">
        <v>0</v>
      </c>
      <c r="C30">
        <v>0</v>
      </c>
      <c r="D30">
        <v>0</v>
      </c>
      <c r="E30">
        <v>0</v>
      </c>
      <c r="F30">
        <v>0</v>
      </c>
      <c r="K30" t="s">
        <v>46</v>
      </c>
      <c r="L30" s="21">
        <v>0</v>
      </c>
      <c r="M30" s="21">
        <v>9</v>
      </c>
      <c r="N30" s="21">
        <v>81.6</v>
      </c>
      <c r="O30" s="21">
        <v>69.2</v>
      </c>
      <c r="P30" s="21">
        <v>81.2</v>
      </c>
      <c r="Q30">
        <f t="shared" si="5"/>
        <v>81.2</v>
      </c>
      <c r="R30">
        <f t="shared" si="6"/>
        <v>81.2</v>
      </c>
      <c r="S30">
        <f t="shared" si="7"/>
        <v>34</v>
      </c>
      <c r="T30">
        <f t="shared" si="8"/>
        <v>34</v>
      </c>
      <c r="U30">
        <f t="shared" si="9"/>
        <v>0</v>
      </c>
      <c r="W30" t="s">
        <v>47</v>
      </c>
      <c r="X30" s="21">
        <v>32.4</v>
      </c>
      <c r="Y30" s="21">
        <v>32</v>
      </c>
      <c r="Z30" s="21">
        <v>93.2</v>
      </c>
      <c r="AA30" s="21">
        <v>72.4</v>
      </c>
      <c r="AB30" s="21">
        <v>83</v>
      </c>
      <c r="AC30">
        <f t="shared" si="10"/>
        <v>50.6</v>
      </c>
      <c r="AD30">
        <f t="shared" si="11"/>
        <v>50.6</v>
      </c>
      <c r="AE30">
        <f t="shared" si="12"/>
        <v>31</v>
      </c>
      <c r="AF30">
        <f t="shared" si="13"/>
        <v>31</v>
      </c>
      <c r="AG30">
        <f t="shared" si="14"/>
        <v>0</v>
      </c>
    </row>
    <row r="31" spans="1:33">
      <c r="A31" t="s">
        <v>45</v>
      </c>
      <c r="B31">
        <v>33.6</v>
      </c>
      <c r="C31">
        <v>30</v>
      </c>
      <c r="D31">
        <v>20</v>
      </c>
      <c r="E31">
        <v>90</v>
      </c>
      <c r="F31">
        <v>10</v>
      </c>
      <c r="K31" t="s">
        <v>45</v>
      </c>
      <c r="L31" s="21">
        <v>33.6</v>
      </c>
      <c r="M31" s="21">
        <v>55.2</v>
      </c>
      <c r="N31" s="21">
        <v>90</v>
      </c>
      <c r="O31" s="21">
        <v>57.6</v>
      </c>
      <c r="P31" s="21">
        <v>81.8</v>
      </c>
      <c r="Q31">
        <f t="shared" si="5"/>
        <v>48.2</v>
      </c>
      <c r="R31">
        <f t="shared" si="6"/>
        <v>48.2</v>
      </c>
      <c r="S31">
        <f t="shared" si="7"/>
        <v>30</v>
      </c>
      <c r="T31">
        <f t="shared" si="8"/>
        <v>30</v>
      </c>
      <c r="U31">
        <f t="shared" si="9"/>
        <v>0</v>
      </c>
      <c r="W31" t="s">
        <v>48</v>
      </c>
      <c r="X31" s="21">
        <v>60.2</v>
      </c>
      <c r="Y31" s="21">
        <v>79.2</v>
      </c>
      <c r="Z31" s="21">
        <v>93.2</v>
      </c>
      <c r="AA31" s="21">
        <v>69.2</v>
      </c>
      <c r="AB31" s="21">
        <v>69</v>
      </c>
      <c r="AC31">
        <f t="shared" si="10"/>
        <v>8.8</v>
      </c>
      <c r="AD31">
        <f t="shared" si="11"/>
        <v>8.8</v>
      </c>
      <c r="AE31">
        <f t="shared" si="12"/>
        <v>3</v>
      </c>
      <c r="AF31">
        <f t="shared" si="13"/>
        <v>3</v>
      </c>
      <c r="AG31">
        <f t="shared" si="14"/>
        <v>0</v>
      </c>
    </row>
    <row r="32" spans="1:33">
      <c r="A32" t="s">
        <v>47</v>
      </c>
      <c r="B32">
        <v>32.4</v>
      </c>
      <c r="C32">
        <v>30</v>
      </c>
      <c r="D32">
        <v>20</v>
      </c>
      <c r="E32">
        <v>80</v>
      </c>
      <c r="F32">
        <v>10</v>
      </c>
      <c r="K32" t="s">
        <v>47</v>
      </c>
      <c r="L32" s="21">
        <v>32.4</v>
      </c>
      <c r="M32" s="21">
        <v>32</v>
      </c>
      <c r="N32" s="21">
        <v>93.2</v>
      </c>
      <c r="O32" s="21">
        <v>72.4</v>
      </c>
      <c r="P32" s="21">
        <v>83</v>
      </c>
      <c r="Q32">
        <f t="shared" si="5"/>
        <v>50.6</v>
      </c>
      <c r="R32">
        <f t="shared" si="6"/>
        <v>50.6</v>
      </c>
      <c r="S32">
        <f t="shared" si="7"/>
        <v>31</v>
      </c>
      <c r="T32">
        <f t="shared" si="8"/>
        <v>31</v>
      </c>
      <c r="U32">
        <f t="shared" si="9"/>
        <v>0</v>
      </c>
      <c r="W32" t="s">
        <v>49</v>
      </c>
      <c r="X32" s="21">
        <v>60.2</v>
      </c>
      <c r="Y32" s="21">
        <v>80.4</v>
      </c>
      <c r="Z32" s="21">
        <v>94</v>
      </c>
      <c r="AA32" s="21">
        <v>49.6</v>
      </c>
      <c r="AB32" s="21">
        <v>86</v>
      </c>
      <c r="AC32">
        <f t="shared" si="10"/>
        <v>25.8</v>
      </c>
      <c r="AD32">
        <f t="shared" si="11"/>
        <v>25.8</v>
      </c>
      <c r="AE32">
        <f t="shared" si="12"/>
        <v>22</v>
      </c>
      <c r="AF32">
        <f t="shared" si="13"/>
        <v>22</v>
      </c>
      <c r="AG32">
        <f t="shared" si="14"/>
        <v>0</v>
      </c>
    </row>
    <row r="33" spans="1:33">
      <c r="A33" t="s">
        <v>48</v>
      </c>
      <c r="B33">
        <v>60.2</v>
      </c>
      <c r="C33">
        <v>65</v>
      </c>
      <c r="D33">
        <v>40</v>
      </c>
      <c r="E33">
        <v>90</v>
      </c>
      <c r="F33">
        <v>30</v>
      </c>
      <c r="K33" t="s">
        <v>48</v>
      </c>
      <c r="L33" s="21">
        <v>60.2</v>
      </c>
      <c r="M33" s="21">
        <v>79.2</v>
      </c>
      <c r="N33" s="21">
        <v>93.2</v>
      </c>
      <c r="O33" s="21">
        <v>69.2</v>
      </c>
      <c r="P33" s="21">
        <v>69</v>
      </c>
      <c r="Q33">
        <f t="shared" si="5"/>
        <v>8.8</v>
      </c>
      <c r="R33">
        <f t="shared" si="6"/>
        <v>8.8</v>
      </c>
      <c r="S33">
        <f t="shared" si="7"/>
        <v>3</v>
      </c>
      <c r="T33">
        <f t="shared" si="8"/>
        <v>3</v>
      </c>
      <c r="U33">
        <f t="shared" si="9"/>
        <v>0</v>
      </c>
      <c r="W33" t="s">
        <v>50</v>
      </c>
      <c r="X33" s="21">
        <v>63</v>
      </c>
      <c r="Y33" s="21">
        <v>85.4</v>
      </c>
      <c r="Z33" s="21">
        <v>92.6</v>
      </c>
      <c r="AA33" s="21">
        <v>81.2</v>
      </c>
      <c r="AB33" s="21">
        <v>82.2</v>
      </c>
      <c r="AC33">
        <f t="shared" si="10"/>
        <v>19.2</v>
      </c>
      <c r="AD33">
        <f t="shared" si="11"/>
        <v>19.2</v>
      </c>
      <c r="AE33">
        <f t="shared" si="12"/>
        <v>7</v>
      </c>
      <c r="AF33">
        <f t="shared" si="13"/>
        <v>7</v>
      </c>
      <c r="AG33">
        <f t="shared" si="14"/>
        <v>0</v>
      </c>
    </row>
    <row r="34" spans="1:33">
      <c r="A34" t="s">
        <v>49</v>
      </c>
      <c r="B34">
        <v>60.2</v>
      </c>
      <c r="C34">
        <v>65</v>
      </c>
      <c r="D34">
        <v>40</v>
      </c>
      <c r="E34">
        <v>90</v>
      </c>
      <c r="F34">
        <v>30</v>
      </c>
      <c r="K34" t="s">
        <v>49</v>
      </c>
      <c r="L34" s="21">
        <v>60.2</v>
      </c>
      <c r="M34" s="21">
        <v>80.4</v>
      </c>
      <c r="N34" s="21">
        <v>94</v>
      </c>
      <c r="O34" s="21">
        <v>49.6</v>
      </c>
      <c r="P34" s="21">
        <v>86</v>
      </c>
      <c r="Q34">
        <f t="shared" si="5"/>
        <v>25.8</v>
      </c>
      <c r="R34">
        <f t="shared" si="6"/>
        <v>25.8</v>
      </c>
      <c r="S34">
        <f t="shared" si="7"/>
        <v>22</v>
      </c>
      <c r="T34">
        <f t="shared" si="8"/>
        <v>22</v>
      </c>
      <c r="U34">
        <f t="shared" si="9"/>
        <v>0</v>
      </c>
      <c r="W34" t="s">
        <v>51</v>
      </c>
      <c r="X34" s="21">
        <v>65.2</v>
      </c>
      <c r="Y34" s="21">
        <v>72.4</v>
      </c>
      <c r="Z34" s="21">
        <v>92.6</v>
      </c>
      <c r="AA34" s="21">
        <v>81.2</v>
      </c>
      <c r="AB34" s="21">
        <v>82.4</v>
      </c>
      <c r="AC34">
        <f t="shared" si="10"/>
        <v>17.2</v>
      </c>
      <c r="AD34">
        <f t="shared" si="11"/>
        <v>17.2</v>
      </c>
      <c r="AE34">
        <f t="shared" si="12"/>
        <v>6</v>
      </c>
      <c r="AF34">
        <f t="shared" si="13"/>
        <v>6</v>
      </c>
      <c r="AG34">
        <f t="shared" si="14"/>
        <v>0</v>
      </c>
    </row>
    <row r="35" spans="1:33">
      <c r="A35" t="s">
        <v>50</v>
      </c>
      <c r="B35">
        <v>63</v>
      </c>
      <c r="C35">
        <v>60</v>
      </c>
      <c r="D35">
        <v>65</v>
      </c>
      <c r="E35">
        <v>90</v>
      </c>
      <c r="F35">
        <v>40</v>
      </c>
      <c r="K35" t="s">
        <v>50</v>
      </c>
      <c r="L35" s="21">
        <v>63</v>
      </c>
      <c r="M35" s="21">
        <v>85.4</v>
      </c>
      <c r="N35" s="21">
        <v>92.6</v>
      </c>
      <c r="O35" s="21">
        <v>81.2</v>
      </c>
      <c r="P35" s="21">
        <v>82.2</v>
      </c>
      <c r="Q35">
        <f t="shared" si="5"/>
        <v>19.2</v>
      </c>
      <c r="R35">
        <f t="shared" si="6"/>
        <v>19.2</v>
      </c>
      <c r="S35">
        <f t="shared" si="7"/>
        <v>7</v>
      </c>
      <c r="T35">
        <f t="shared" si="8"/>
        <v>7</v>
      </c>
      <c r="U35">
        <f t="shared" si="9"/>
        <v>0</v>
      </c>
      <c r="W35" t="s">
        <v>52</v>
      </c>
      <c r="X35" s="21">
        <v>26.6</v>
      </c>
      <c r="Y35" s="21">
        <v>66.8</v>
      </c>
      <c r="Z35" s="21">
        <v>87.6</v>
      </c>
      <c r="AA35" s="21">
        <v>49.6</v>
      </c>
      <c r="AB35" s="21">
        <v>83</v>
      </c>
      <c r="AC35">
        <f t="shared" si="10"/>
        <v>56.4</v>
      </c>
      <c r="AD35">
        <f t="shared" si="11"/>
        <v>56.4</v>
      </c>
      <c r="AE35">
        <f t="shared" si="12"/>
        <v>32</v>
      </c>
      <c r="AF35">
        <f t="shared" si="13"/>
        <v>32</v>
      </c>
      <c r="AG35">
        <f t="shared" si="14"/>
        <v>0</v>
      </c>
    </row>
    <row r="36" spans="1:33">
      <c r="A36" t="s">
        <v>51</v>
      </c>
      <c r="B36">
        <v>65.2</v>
      </c>
      <c r="C36">
        <v>60</v>
      </c>
      <c r="D36">
        <v>70</v>
      </c>
      <c r="E36">
        <v>100</v>
      </c>
      <c r="F36">
        <v>40</v>
      </c>
      <c r="K36" t="s">
        <v>51</v>
      </c>
      <c r="L36" s="21">
        <v>65.2</v>
      </c>
      <c r="M36" s="21">
        <v>72.4</v>
      </c>
      <c r="N36" s="21">
        <v>92.6</v>
      </c>
      <c r="O36" s="21">
        <v>81.2</v>
      </c>
      <c r="P36" s="21">
        <v>82.4</v>
      </c>
      <c r="Q36">
        <f t="shared" si="5"/>
        <v>17.2</v>
      </c>
      <c r="R36">
        <f t="shared" si="6"/>
        <v>17.2</v>
      </c>
      <c r="S36">
        <f t="shared" si="7"/>
        <v>6</v>
      </c>
      <c r="T36">
        <f t="shared" si="8"/>
        <v>6</v>
      </c>
      <c r="U36">
        <f t="shared" si="9"/>
        <v>0</v>
      </c>
      <c r="W36" t="s">
        <v>53</v>
      </c>
      <c r="X36" s="21">
        <v>63.8</v>
      </c>
      <c r="Y36" s="21">
        <v>79.2</v>
      </c>
      <c r="Z36" s="21">
        <v>93.2</v>
      </c>
      <c r="AA36" s="21">
        <v>81.2</v>
      </c>
      <c r="AB36" s="21">
        <v>86</v>
      </c>
      <c r="AC36">
        <f t="shared" si="10"/>
        <v>22.2</v>
      </c>
      <c r="AD36">
        <f t="shared" si="11"/>
        <v>22.2</v>
      </c>
      <c r="AE36">
        <f t="shared" si="12"/>
        <v>16</v>
      </c>
      <c r="AF36">
        <f t="shared" si="13"/>
        <v>16</v>
      </c>
      <c r="AG36">
        <f t="shared" si="14"/>
        <v>0</v>
      </c>
    </row>
    <row r="37" spans="1:33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K37" t="s">
        <v>54</v>
      </c>
      <c r="L37" s="21">
        <v>0</v>
      </c>
      <c r="M37" s="21">
        <v>62</v>
      </c>
      <c r="N37" s="21">
        <v>92.6</v>
      </c>
      <c r="O37" s="21">
        <v>62.4</v>
      </c>
      <c r="P37" s="21">
        <v>82.4</v>
      </c>
      <c r="Q37">
        <f t="shared" si="5"/>
        <v>82.4</v>
      </c>
      <c r="R37">
        <f t="shared" si="6"/>
        <v>82.4</v>
      </c>
      <c r="S37">
        <f t="shared" si="7"/>
        <v>35</v>
      </c>
      <c r="T37">
        <f t="shared" si="8"/>
        <v>35</v>
      </c>
      <c r="U37">
        <f t="shared" si="9"/>
        <v>0</v>
      </c>
      <c r="W37" t="s">
        <v>55</v>
      </c>
      <c r="X37" s="21">
        <v>56.4</v>
      </c>
      <c r="Y37" s="21">
        <v>77.8</v>
      </c>
      <c r="Z37" s="21">
        <v>90</v>
      </c>
      <c r="AA37" s="21">
        <v>69.2</v>
      </c>
      <c r="AB37" s="21">
        <v>79</v>
      </c>
      <c r="AC37">
        <f t="shared" si="10"/>
        <v>22.6</v>
      </c>
      <c r="AD37">
        <f t="shared" si="11"/>
        <v>22.6</v>
      </c>
      <c r="AE37">
        <f t="shared" si="12"/>
        <v>17</v>
      </c>
      <c r="AF37">
        <f t="shared" si="13"/>
        <v>17</v>
      </c>
      <c r="AG37">
        <f t="shared" si="14"/>
        <v>0</v>
      </c>
    </row>
    <row r="38" spans="1:33">
      <c r="A38" t="s">
        <v>52</v>
      </c>
      <c r="B38">
        <v>26.6</v>
      </c>
      <c r="C38">
        <v>20</v>
      </c>
      <c r="D38">
        <v>15</v>
      </c>
      <c r="E38">
        <v>90</v>
      </c>
      <c r="F38">
        <v>10</v>
      </c>
      <c r="K38" t="s">
        <v>52</v>
      </c>
      <c r="L38" s="21">
        <v>26.6</v>
      </c>
      <c r="M38" s="21">
        <v>66.8</v>
      </c>
      <c r="N38" s="21">
        <v>87.6</v>
      </c>
      <c r="O38" s="21">
        <v>49.6</v>
      </c>
      <c r="P38" s="21">
        <v>83</v>
      </c>
      <c r="Q38">
        <f t="shared" si="5"/>
        <v>56.4</v>
      </c>
      <c r="R38">
        <f t="shared" si="6"/>
        <v>56.4</v>
      </c>
      <c r="S38">
        <f t="shared" si="7"/>
        <v>32</v>
      </c>
      <c r="T38">
        <f t="shared" si="8"/>
        <v>32</v>
      </c>
      <c r="U38">
        <f t="shared" si="9"/>
        <v>0</v>
      </c>
      <c r="W38" t="s">
        <v>56</v>
      </c>
      <c r="X38" s="16">
        <f>AVERAGE(X5:X37)</f>
        <v>54.5636363636364</v>
      </c>
      <c r="Y38" s="16">
        <f>AVERAGE(Y5:Y37)</f>
        <v>72.0484848484848</v>
      </c>
      <c r="Z38" s="16">
        <f>AVERAGE(Z5:Z37)</f>
        <v>85.9151515151515</v>
      </c>
      <c r="AA38" s="16">
        <f>AVERAGE(AA5:AA37)</f>
        <v>70.6848484848485</v>
      </c>
      <c r="AB38" s="16">
        <f>AVERAGE(AB5:AB37)</f>
        <v>80.2242424242424</v>
      </c>
      <c r="AF38">
        <f>SUM(AF5:AF37)</f>
        <v>557</v>
      </c>
      <c r="AG38">
        <f>SUM(AG5:AG37)</f>
        <v>4</v>
      </c>
    </row>
    <row r="39" spans="1:33">
      <c r="A39" t="s">
        <v>53</v>
      </c>
      <c r="B39">
        <v>63.8</v>
      </c>
      <c r="C39">
        <v>60</v>
      </c>
      <c r="D39">
        <v>70</v>
      </c>
      <c r="E39">
        <v>95</v>
      </c>
      <c r="F39">
        <v>30</v>
      </c>
      <c r="K39" t="s">
        <v>53</v>
      </c>
      <c r="L39" s="21">
        <v>63.8</v>
      </c>
      <c r="M39" s="21">
        <v>79.2</v>
      </c>
      <c r="N39" s="21">
        <v>93.2</v>
      </c>
      <c r="O39" s="21">
        <v>81.2</v>
      </c>
      <c r="P39" s="21">
        <v>86</v>
      </c>
      <c r="Q39">
        <f t="shared" si="5"/>
        <v>22.2</v>
      </c>
      <c r="R39">
        <f t="shared" si="6"/>
        <v>22.2</v>
      </c>
      <c r="S39">
        <f t="shared" si="7"/>
        <v>16</v>
      </c>
      <c r="T39">
        <f t="shared" si="8"/>
        <v>16</v>
      </c>
      <c r="U39">
        <f t="shared" si="9"/>
        <v>0</v>
      </c>
      <c r="W39" t="s">
        <v>57</v>
      </c>
      <c r="X39" s="16">
        <f>_xlfn.STDEV.S(X5:X37)</f>
        <v>11.8715473449604</v>
      </c>
      <c r="Y39" s="16">
        <f>_xlfn.STDEV.S(Y5:Y37)</f>
        <v>17.2108272827768</v>
      </c>
      <c r="Z39" s="16">
        <f>_xlfn.STDEV.S(Z5:Z37)</f>
        <v>14.3224500612701</v>
      </c>
      <c r="AA39" s="16">
        <f>_xlfn.STDEV.S(AA5:AA37)</f>
        <v>12.4781839927762</v>
      </c>
      <c r="AB39" s="16">
        <f>_xlfn.STDEV.S(AB5:AB37)</f>
        <v>8.49010564948363</v>
      </c>
    </row>
    <row r="40" spans="1:33">
      <c r="A40" t="s">
        <v>55</v>
      </c>
      <c r="B40">
        <v>56.4</v>
      </c>
      <c r="C40">
        <v>60</v>
      </c>
      <c r="D40">
        <v>40</v>
      </c>
      <c r="E40">
        <v>90</v>
      </c>
      <c r="F40">
        <v>20</v>
      </c>
      <c r="K40" t="s">
        <v>55</v>
      </c>
      <c r="L40" s="21">
        <v>56.4</v>
      </c>
      <c r="M40" s="21">
        <v>77.8</v>
      </c>
      <c r="N40" s="21">
        <v>90</v>
      </c>
      <c r="O40" s="21">
        <v>69.2</v>
      </c>
      <c r="P40" s="21">
        <v>79</v>
      </c>
      <c r="Q40">
        <f t="shared" si="5"/>
        <v>22.6</v>
      </c>
      <c r="R40">
        <f t="shared" si="6"/>
        <v>22.6</v>
      </c>
      <c r="S40">
        <f t="shared" si="7"/>
        <v>17</v>
      </c>
      <c r="T40">
        <f t="shared" si="8"/>
        <v>17</v>
      </c>
      <c r="U40">
        <f t="shared" si="9"/>
        <v>0</v>
      </c>
      <c r="W40" t="s">
        <v>58</v>
      </c>
      <c r="X40" s="48">
        <f>_xlfn.STDEV.S(X5:X37)/AVERAGE(X5:X37)</f>
        <v>0.217572510487445</v>
      </c>
      <c r="Y40" s="48">
        <f>_xlfn.STDEV.S(Y5:Y37)/AVERAGE(Y5:Y37)</f>
        <v>0.238878406936253</v>
      </c>
      <c r="Z40" s="48">
        <f>_xlfn.STDEV.S(Z5:Z37)/AVERAGE(Z5:Z37)</f>
        <v>0.166704589454682</v>
      </c>
      <c r="AA40" s="48">
        <f>_xlfn.STDEV.S(AA5:AA37)/AVERAGE(AA5:AA37)</f>
        <v>0.176532655303787</v>
      </c>
      <c r="AB40" s="48">
        <f>_xlfn.STDEV.S(AB5:AB37)/AVERAGE(AB5:AB37)</f>
        <v>0.105829676827438</v>
      </c>
      <c r="AC40" s="10"/>
    </row>
    <row r="41" spans="1:33">
      <c r="A41" t="s">
        <v>56</v>
      </c>
      <c r="B41" s="12">
        <f>AVERAGE(B5:B40)</f>
        <v>50.0166666666667</v>
      </c>
      <c r="C41" s="12">
        <f>AVERAGE(C5:C40)</f>
        <v>50.6944444444444</v>
      </c>
      <c r="D41" s="12">
        <f>AVERAGE(D5:D40)</f>
        <v>38.75</v>
      </c>
      <c r="E41" s="12">
        <f>AVERAGE(E5:E40)</f>
        <v>82.0833333333333</v>
      </c>
      <c r="F41" s="12">
        <f>AVERAGE(F5:F40)</f>
        <v>25</v>
      </c>
      <c r="K41" t="s">
        <v>56</v>
      </c>
      <c r="L41" s="16">
        <f t="shared" ref="L41:P41" si="15">AVERAGE(L5:L40)</f>
        <v>50.0166666666667</v>
      </c>
      <c r="M41" s="16">
        <f t="shared" si="15"/>
        <v>70.1777777777778</v>
      </c>
      <c r="N41" s="16">
        <f t="shared" si="15"/>
        <v>84.85</v>
      </c>
      <c r="O41" s="16">
        <f t="shared" si="15"/>
        <v>68.9722222222222</v>
      </c>
      <c r="P41" s="16">
        <f t="shared" si="15"/>
        <v>80.3888888888889</v>
      </c>
      <c r="T41">
        <f>SUM(T5:T40)</f>
        <v>662</v>
      </c>
      <c r="U41">
        <f>SUM(U5:U40)</f>
        <v>4</v>
      </c>
      <c r="W41" t="s">
        <v>59</v>
      </c>
      <c r="X41" s="10">
        <f>AB38-X38</f>
        <v>25.660606060606</v>
      </c>
      <c r="Y41" s="10"/>
      <c r="Z41" s="10"/>
      <c r="AA41" s="10"/>
      <c r="AB41" s="10"/>
      <c r="AC41" s="10"/>
    </row>
    <row r="42" spans="1:33">
      <c r="A42" t="s">
        <v>57</v>
      </c>
      <c r="B42" s="12">
        <f>_xlfn.STDEV.S(B5:B40)</f>
        <v>19.0466720002659</v>
      </c>
      <c r="C42" s="12">
        <f>_xlfn.STDEV.S(C5:C40)</f>
        <v>20.4643515054761</v>
      </c>
      <c r="D42" s="12">
        <f>_xlfn.STDEV.S(D5:D40)</f>
        <v>19.9418798368803</v>
      </c>
      <c r="E42" s="12">
        <f>_xlfn.STDEV.S(E5:E40)</f>
        <v>25.4214476377723</v>
      </c>
      <c r="F42" s="12">
        <f>_xlfn.STDEV.S(F5:F40)</f>
        <v>12.3056316956332</v>
      </c>
      <c r="K42" t="s">
        <v>57</v>
      </c>
      <c r="L42" s="16">
        <f t="shared" ref="L42:P42" si="16">_xlfn.STDEV.S(L5:L40)</f>
        <v>19.0466720002659</v>
      </c>
      <c r="M42" s="16">
        <f t="shared" si="16"/>
        <v>19.6119367603524</v>
      </c>
      <c r="N42" s="16">
        <f t="shared" si="16"/>
        <v>15.3478057994341</v>
      </c>
      <c r="O42" s="16">
        <f t="shared" si="16"/>
        <v>14.7743525091116</v>
      </c>
      <c r="P42" s="16">
        <f t="shared" si="16"/>
        <v>8.13991146943004</v>
      </c>
      <c r="W42" t="s">
        <v>60</v>
      </c>
      <c r="X42" s="10">
        <f>AVERAGE(AC5:AC37)/(_xlfn.STDEV.S(AC5:AC37)/SQRT(COUNT(AC5:AC37)))</f>
        <v>9.91723095835071</v>
      </c>
      <c r="Y42" s="10"/>
      <c r="Z42" s="10"/>
      <c r="AA42" s="10"/>
      <c r="AB42" s="10"/>
      <c r="AC42" s="10"/>
    </row>
    <row r="43" spans="1:33">
      <c r="K43" t="s">
        <v>58</v>
      </c>
      <c r="L43" s="48">
        <f>_xlfn.STDEV.S(L5:L40)/AVERAGE(L5:L40)</f>
        <v>0.380806504503817</v>
      </c>
      <c r="M43" s="48">
        <f>_xlfn.STDEV.S(M5:M40)/AVERAGE(M5:M40)</f>
        <v>0.279460783475573</v>
      </c>
      <c r="N43" s="48">
        <f>_xlfn.STDEV.S(N5:N40)/AVERAGE(N5:N40)</f>
        <v>0.180881624035758</v>
      </c>
      <c r="O43" s="48">
        <f>_xlfn.STDEV.S(O5:O40)/AVERAGE(O5:O40)</f>
        <v>0.214207285673789</v>
      </c>
      <c r="P43" s="48">
        <f>_xlfn.STDEV.S(P5:P40)/AVERAGE(P5:P40)</f>
        <v>0.101256673427602</v>
      </c>
      <c r="Q43" s="10"/>
      <c r="W43" t="s">
        <v>61</v>
      </c>
      <c r="X43" s="49" cm="1">
        <f t="array" ref="X43">TTEST(X5:X37,AB5:AB37,2,1)</f>
        <v>2.77727004802972e-11</v>
      </c>
      <c r="Y43" s="10"/>
      <c r="Z43" s="10"/>
      <c r="AA43" s="10"/>
      <c r="AB43" s="10"/>
      <c r="AC43" s="10"/>
    </row>
    <row r="44" spans="1:33">
      <c r="K44" t="s">
        <v>59</v>
      </c>
      <c r="L44" s="10">
        <f>P41-L41</f>
        <v>30.3722222222222</v>
      </c>
      <c r="M44" s="10"/>
      <c r="N44" s="10"/>
      <c r="O44" s="10"/>
      <c r="P44" s="10"/>
      <c r="Q44" s="10"/>
      <c r="W44" t="s">
        <v>62</v>
      </c>
      <c r="X44" s="24">
        <f>AVERAGE(AC5:AC37)/_xlfn.STDEV.S(AC5:AC37)</f>
        <v>1.72636831880097</v>
      </c>
      <c r="Y44" s="10"/>
      <c r="Z44" s="10"/>
      <c r="AA44" s="10"/>
      <c r="AB44" s="10"/>
      <c r="AC44" s="10"/>
    </row>
    <row r="45" spans="1:33">
      <c r="A45" s="2" t="s">
        <v>11</v>
      </c>
      <c r="B45" s="2" t="s">
        <v>3</v>
      </c>
      <c r="C45" s="2" t="s">
        <v>6</v>
      </c>
      <c r="D45" s="2" t="s">
        <v>7</v>
      </c>
      <c r="E45" s="2" t="s">
        <v>8</v>
      </c>
      <c r="F45" s="2" t="s">
        <v>9</v>
      </c>
      <c r="K45" t="s">
        <v>60</v>
      </c>
      <c r="L45" s="10">
        <f>AVERAGE(Q5:Q40)/(_xlfn.STDEV.S(Q5:Q40)/SQRT(COUNT(Q5:Q40)))</f>
        <v>8.56002504068658</v>
      </c>
      <c r="M45" s="10"/>
      <c r="N45" s="10"/>
      <c r="O45" s="10"/>
      <c r="P45" s="10"/>
      <c r="Q45" s="10"/>
      <c r="W45" t="s">
        <v>63</v>
      </c>
      <c r="X45">
        <f>COUNT(AC5:AC37)</f>
        <v>33</v>
      </c>
      <c r="Y45" s="10"/>
      <c r="Z45" s="10"/>
      <c r="AA45" s="10"/>
      <c r="AB45" s="10"/>
      <c r="AC45" s="10"/>
    </row>
    <row r="46" spans="1:33">
      <c r="A46" t="s">
        <v>20</v>
      </c>
      <c r="B46">
        <v>79.6</v>
      </c>
      <c r="C46">
        <v>85</v>
      </c>
      <c r="D46">
        <v>75</v>
      </c>
      <c r="E46">
        <v>70</v>
      </c>
      <c r="F46">
        <v>65</v>
      </c>
      <c r="K46" t="s">
        <v>61</v>
      </c>
      <c r="L46" s="49" cm="1">
        <f t="array" ref="L46">TTEST(L5:L40,P5:P40,2,1)</f>
        <v>4.19914916138425e-10</v>
      </c>
      <c r="M46" s="10"/>
      <c r="N46" s="10"/>
      <c r="O46" s="10"/>
      <c r="P46" s="10"/>
      <c r="Q46" s="10"/>
      <c r="W46" t="s">
        <v>64</v>
      </c>
      <c r="X46">
        <f>TINV(0.05,X45-1)</f>
        <v>2.0369333434601</v>
      </c>
      <c r="Y46" s="10"/>
      <c r="Z46" s="10"/>
      <c r="AA46" s="10"/>
      <c r="AB46" s="10"/>
      <c r="AC46" s="10"/>
    </row>
    <row r="47" spans="1:33">
      <c r="A47" t="s">
        <v>21</v>
      </c>
      <c r="B47">
        <v>59.6</v>
      </c>
      <c r="C47">
        <v>70</v>
      </c>
      <c r="D47">
        <v>40</v>
      </c>
      <c r="E47">
        <v>60</v>
      </c>
      <c r="F47">
        <v>30</v>
      </c>
      <c r="K47" t="s">
        <v>62</v>
      </c>
      <c r="L47" s="24">
        <f>AVERAGE(Q5:Q40)/_xlfn.STDEV.S(Q5:Q40)</f>
        <v>1.42667084011443</v>
      </c>
      <c r="M47" s="10"/>
      <c r="N47" s="10"/>
      <c r="O47" s="10"/>
      <c r="P47" s="10"/>
      <c r="Q47" s="10"/>
      <c r="W47" t="s">
        <v>65</v>
      </c>
      <c r="X47" s="50">
        <f>SQRT(1/X45+X44^2/(2*(X45-1)))</f>
        <v>0.277256129090099</v>
      </c>
      <c r="Y47" s="10"/>
      <c r="Z47" s="10"/>
      <c r="AA47" s="10"/>
      <c r="AB47" s="10"/>
      <c r="AC47" s="10"/>
    </row>
    <row r="48" spans="1:33">
      <c r="A48" t="s">
        <v>22</v>
      </c>
      <c r="B48">
        <v>51.2</v>
      </c>
      <c r="C48">
        <v>60</v>
      </c>
      <c r="D48">
        <v>20</v>
      </c>
      <c r="E48">
        <v>80</v>
      </c>
      <c r="F48">
        <v>20</v>
      </c>
      <c r="K48" t="s">
        <v>63</v>
      </c>
      <c r="L48">
        <f>COUNT(Q5:Q40)</f>
        <v>36</v>
      </c>
      <c r="M48" s="10"/>
      <c r="N48" s="10"/>
      <c r="O48" s="10"/>
      <c r="P48" s="10"/>
      <c r="Q48" s="10"/>
      <c r="W48" t="s">
        <v>66</v>
      </c>
      <c r="X48" s="50">
        <f>X44-X46*X47</f>
        <v>1.16161606477867</v>
      </c>
      <c r="Y48" s="10"/>
      <c r="Z48" s="10"/>
      <c r="AA48" s="10"/>
      <c r="AB48" s="10"/>
      <c r="AC48" s="10"/>
    </row>
    <row r="49" spans="1:29">
      <c r="A49" t="s">
        <v>23</v>
      </c>
      <c r="B49">
        <v>78.8</v>
      </c>
      <c r="C49">
        <v>85</v>
      </c>
      <c r="D49">
        <v>75</v>
      </c>
      <c r="E49">
        <v>80</v>
      </c>
      <c r="F49">
        <v>40</v>
      </c>
      <c r="K49" t="s">
        <v>64</v>
      </c>
      <c r="L49">
        <f>TINV(0.05,L48-1)</f>
        <v>2.03010792825034</v>
      </c>
      <c r="M49" s="10"/>
      <c r="N49" s="10"/>
      <c r="O49" s="10"/>
      <c r="P49" s="10"/>
      <c r="Q49" s="10"/>
      <c r="W49" t="s">
        <v>67</v>
      </c>
      <c r="X49" s="50">
        <f>X44+X47*X46</f>
        <v>2.29112057282327</v>
      </c>
      <c r="Y49" s="10"/>
      <c r="Z49" s="10"/>
      <c r="AA49" s="10"/>
      <c r="AB49" s="10"/>
      <c r="AC49" s="10"/>
    </row>
    <row r="50" spans="1:29">
      <c r="A50" t="s">
        <v>24</v>
      </c>
      <c r="B50">
        <v>81.2</v>
      </c>
      <c r="C50">
        <v>85</v>
      </c>
      <c r="D50">
        <v>75</v>
      </c>
      <c r="E50">
        <v>80</v>
      </c>
      <c r="F50">
        <v>70</v>
      </c>
      <c r="K50" t="s">
        <v>65</v>
      </c>
      <c r="L50" s="50">
        <f>SQRT(1/L48+L47^2/(2*(L48-1)))</f>
        <v>0.238442389881775</v>
      </c>
      <c r="M50" s="10"/>
      <c r="N50" s="10"/>
      <c r="O50" s="10"/>
      <c r="P50" s="10"/>
      <c r="Q50" s="10"/>
      <c r="W50" t="s">
        <v>68</v>
      </c>
      <c r="X50" s="10">
        <f>MIN(AF38:AG38)</f>
        <v>4</v>
      </c>
      <c r="Y50" s="10"/>
      <c r="Z50" s="10"/>
      <c r="AA50" s="10"/>
      <c r="AB50" s="10"/>
      <c r="AC50" s="10"/>
    </row>
    <row r="51" spans="1:29">
      <c r="A51" t="s">
        <v>25</v>
      </c>
      <c r="B51">
        <v>78.4</v>
      </c>
      <c r="C51">
        <v>85</v>
      </c>
      <c r="D51">
        <v>65</v>
      </c>
      <c r="E51">
        <v>80</v>
      </c>
      <c r="F51">
        <v>60</v>
      </c>
      <c r="K51" t="s">
        <v>66</v>
      </c>
      <c r="L51" s="50">
        <f>L47-L49*L50</f>
        <v>0.942607053984481</v>
      </c>
      <c r="M51" s="10"/>
      <c r="N51" s="10"/>
      <c r="O51" s="10"/>
      <c r="P51" s="10"/>
      <c r="Q51" s="10"/>
      <c r="W51" t="s">
        <v>69</v>
      </c>
      <c r="X51" s="50">
        <v>0.985</v>
      </c>
      <c r="Y51" s="51" t="s">
        <v>70</v>
      </c>
      <c r="Z51" s="10"/>
      <c r="AA51" s="10"/>
      <c r="AB51" s="10"/>
      <c r="AC51" s="10"/>
    </row>
    <row r="52" spans="1:29">
      <c r="A52" t="s">
        <v>26</v>
      </c>
      <c r="B52">
        <v>79.2</v>
      </c>
      <c r="C52">
        <v>85</v>
      </c>
      <c r="D52">
        <v>75</v>
      </c>
      <c r="E52">
        <v>70</v>
      </c>
      <c r="F52">
        <v>60</v>
      </c>
      <c r="K52" t="s">
        <v>67</v>
      </c>
      <c r="L52" s="50">
        <f>L47+L50*L49</f>
        <v>1.91073462624438</v>
      </c>
      <c r="M52" s="10"/>
      <c r="N52" s="10"/>
      <c r="O52" s="10"/>
      <c r="P52" s="10"/>
      <c r="Q52" s="10"/>
      <c r="W52" t="s">
        <v>71</v>
      </c>
      <c r="X52" s="50">
        <v>1.892</v>
      </c>
      <c r="Y52" s="51"/>
    </row>
    <row r="53" spans="1:29">
      <c r="A53" t="s">
        <v>27</v>
      </c>
      <c r="B53">
        <v>79.6</v>
      </c>
      <c r="C53">
        <v>85</v>
      </c>
      <c r="D53">
        <v>75</v>
      </c>
      <c r="E53">
        <v>70</v>
      </c>
      <c r="F53">
        <v>65</v>
      </c>
      <c r="K53" t="s">
        <v>68</v>
      </c>
      <c r="L53" s="10">
        <f>MIN(T41:U41)</f>
        <v>4</v>
      </c>
      <c r="M53" s="10"/>
      <c r="N53" s="10"/>
      <c r="O53" s="10"/>
      <c r="P53" s="10"/>
      <c r="Q53" s="10"/>
    </row>
    <row r="54" spans="1:29">
      <c r="A54" t="s">
        <v>28</v>
      </c>
      <c r="B54">
        <v>85.6</v>
      </c>
      <c r="C54">
        <v>90</v>
      </c>
      <c r="D54">
        <v>85</v>
      </c>
      <c r="E54">
        <v>75</v>
      </c>
      <c r="F54">
        <v>70</v>
      </c>
      <c r="K54" t="s">
        <v>69</v>
      </c>
      <c r="L54" s="50">
        <v>0.985</v>
      </c>
      <c r="M54" s="51" t="s">
        <v>70</v>
      </c>
      <c r="N54" s="10"/>
      <c r="O54" s="10"/>
      <c r="P54" s="10"/>
      <c r="Q54" s="10"/>
    </row>
    <row r="55" spans="1:29">
      <c r="A55" t="s">
        <v>29</v>
      </c>
      <c r="B55">
        <v>77.8</v>
      </c>
      <c r="C55">
        <v>85</v>
      </c>
      <c r="D55">
        <v>70</v>
      </c>
      <c r="E55">
        <v>80</v>
      </c>
      <c r="F55">
        <v>40</v>
      </c>
      <c r="K55" t="s">
        <v>71</v>
      </c>
      <c r="L55" s="50">
        <v>1.892</v>
      </c>
      <c r="M55" s="51"/>
    </row>
    <row r="56" spans="1:29">
      <c r="A56" t="s">
        <v>30</v>
      </c>
      <c r="B56">
        <v>83.6</v>
      </c>
      <c r="C56">
        <v>85</v>
      </c>
      <c r="D56">
        <v>90</v>
      </c>
      <c r="E56">
        <v>75</v>
      </c>
      <c r="F56">
        <v>70</v>
      </c>
    </row>
    <row r="57" spans="1:29">
      <c r="A57" t="s">
        <v>31</v>
      </c>
      <c r="B57">
        <v>77.8</v>
      </c>
      <c r="C57">
        <v>85</v>
      </c>
      <c r="D57">
        <v>70</v>
      </c>
      <c r="E57">
        <v>80</v>
      </c>
      <c r="F57">
        <v>40</v>
      </c>
    </row>
    <row r="58" spans="1:29">
      <c r="A58" t="s">
        <v>32</v>
      </c>
      <c r="B58">
        <v>77.2</v>
      </c>
      <c r="C58">
        <v>85</v>
      </c>
      <c r="D58">
        <v>70</v>
      </c>
      <c r="E58">
        <v>75</v>
      </c>
      <c r="F58">
        <v>40</v>
      </c>
      <c r="K58" t="s">
        <v>6</v>
      </c>
    </row>
    <row r="59" spans="1:29">
      <c r="A59" t="s">
        <v>33</v>
      </c>
      <c r="B59">
        <v>78.8</v>
      </c>
      <c r="C59">
        <v>85</v>
      </c>
      <c r="D59">
        <v>75</v>
      </c>
      <c r="E59">
        <v>80</v>
      </c>
      <c r="F59">
        <v>40</v>
      </c>
      <c r="K59" s="2" t="s">
        <v>10</v>
      </c>
      <c r="L59" s="2" t="s">
        <v>5</v>
      </c>
      <c r="M59" s="2" t="s">
        <v>11</v>
      </c>
      <c r="N59" s="2" t="s">
        <v>12</v>
      </c>
      <c r="O59" s="2" t="s">
        <v>13</v>
      </c>
      <c r="P59" s="2" t="s">
        <v>14</v>
      </c>
      <c r="Q59" t="s">
        <v>15</v>
      </c>
      <c r="R59" t="s">
        <v>16</v>
      </c>
      <c r="S59" t="s">
        <v>17</v>
      </c>
      <c r="T59" t="s">
        <v>18</v>
      </c>
    </row>
    <row r="60" spans="1:29">
      <c r="A60" t="s">
        <v>34</v>
      </c>
      <c r="B60">
        <v>79.6</v>
      </c>
      <c r="C60">
        <v>85</v>
      </c>
      <c r="D60">
        <v>75</v>
      </c>
      <c r="E60">
        <v>70</v>
      </c>
      <c r="F60">
        <v>65</v>
      </c>
      <c r="K60" t="s">
        <v>20</v>
      </c>
      <c r="L60" s="21">
        <v>60</v>
      </c>
      <c r="M60" s="21">
        <v>85</v>
      </c>
      <c r="N60" s="21">
        <v>95</v>
      </c>
      <c r="O60" s="21">
        <v>85</v>
      </c>
      <c r="P60" s="21">
        <v>85</v>
      </c>
      <c r="Q60">
        <f t="shared" ref="Q60:Q95" si="17">P60-L60</f>
        <v>25</v>
      </c>
      <c r="R60">
        <f t="shared" ref="R60:R95" si="18">ABS(Q60)</f>
        <v>25</v>
      </c>
      <c r="S60">
        <f>IF(Q60=0,"",_xlfn.RANK.AVG(R60,$R$60:$R$95,1))</f>
        <v>19.5</v>
      </c>
      <c r="T60">
        <f t="shared" ref="T60:T95" si="19">IF(Q60&gt;0,S60,0)</f>
        <v>19.5</v>
      </c>
    </row>
    <row r="61" spans="1:29">
      <c r="A61" t="s">
        <v>35</v>
      </c>
      <c r="B61">
        <v>62</v>
      </c>
      <c r="C61">
        <v>70</v>
      </c>
      <c r="D61">
        <v>40</v>
      </c>
      <c r="E61">
        <v>80</v>
      </c>
      <c r="F61">
        <v>30</v>
      </c>
      <c r="K61" t="s">
        <v>21</v>
      </c>
      <c r="L61" s="21">
        <v>40</v>
      </c>
      <c r="M61" s="21">
        <v>70</v>
      </c>
      <c r="N61" s="21">
        <v>95</v>
      </c>
      <c r="O61" s="21">
        <v>60</v>
      </c>
      <c r="P61" s="21">
        <v>85</v>
      </c>
      <c r="Q61">
        <f t="shared" si="17"/>
        <v>45</v>
      </c>
      <c r="R61">
        <f t="shared" si="18"/>
        <v>45</v>
      </c>
      <c r="S61">
        <f t="shared" ref="S61:S95" si="20">IF(Q61=0,"",_xlfn.RANK.AVG(R61,$R$60:$R$95,1))</f>
        <v>27.5</v>
      </c>
      <c r="T61">
        <f t="shared" si="19"/>
        <v>27.5</v>
      </c>
    </row>
    <row r="62" spans="1:29">
      <c r="A62" t="s">
        <v>36</v>
      </c>
      <c r="B62">
        <v>66</v>
      </c>
      <c r="C62">
        <v>70</v>
      </c>
      <c r="D62">
        <v>60</v>
      </c>
      <c r="E62">
        <v>80</v>
      </c>
      <c r="F62">
        <v>30</v>
      </c>
      <c r="K62" t="s">
        <v>22</v>
      </c>
      <c r="L62" s="21">
        <v>70</v>
      </c>
      <c r="M62" s="21">
        <v>60</v>
      </c>
      <c r="N62" s="21">
        <v>85</v>
      </c>
      <c r="O62" s="21">
        <v>40</v>
      </c>
      <c r="P62" s="21">
        <v>75</v>
      </c>
      <c r="Q62">
        <f t="shared" si="17"/>
        <v>5</v>
      </c>
      <c r="R62">
        <f t="shared" si="18"/>
        <v>5</v>
      </c>
      <c r="S62">
        <f t="shared" si="20"/>
        <v>2</v>
      </c>
      <c r="T62">
        <f t="shared" si="19"/>
        <v>2</v>
      </c>
    </row>
    <row r="63" spans="1:29">
      <c r="A63" t="s">
        <v>37</v>
      </c>
      <c r="B63">
        <v>85.4</v>
      </c>
      <c r="C63">
        <v>90</v>
      </c>
      <c r="D63">
        <v>85</v>
      </c>
      <c r="E63">
        <v>70</v>
      </c>
      <c r="F63">
        <v>75</v>
      </c>
      <c r="K63" t="s">
        <v>23</v>
      </c>
      <c r="L63" s="21">
        <v>65</v>
      </c>
      <c r="M63" s="21">
        <v>85</v>
      </c>
      <c r="N63" s="21">
        <v>0</v>
      </c>
      <c r="O63" s="21">
        <v>85</v>
      </c>
      <c r="P63" s="21">
        <v>85</v>
      </c>
      <c r="Q63">
        <f t="shared" si="17"/>
        <v>20</v>
      </c>
      <c r="R63">
        <f t="shared" si="18"/>
        <v>20</v>
      </c>
      <c r="S63">
        <f t="shared" si="20"/>
        <v>9</v>
      </c>
      <c r="T63">
        <f t="shared" si="19"/>
        <v>9</v>
      </c>
    </row>
    <row r="64" spans="1:29">
      <c r="A64" t="s">
        <v>38</v>
      </c>
      <c r="B64">
        <v>83.6</v>
      </c>
      <c r="C64">
        <v>85</v>
      </c>
      <c r="D64">
        <v>90</v>
      </c>
      <c r="E64">
        <v>75</v>
      </c>
      <c r="F64">
        <v>70</v>
      </c>
      <c r="K64" t="s">
        <v>24</v>
      </c>
      <c r="L64" s="21">
        <v>60</v>
      </c>
      <c r="M64" s="21">
        <v>85</v>
      </c>
      <c r="N64" s="21">
        <v>95</v>
      </c>
      <c r="O64" s="21">
        <v>70</v>
      </c>
      <c r="P64" s="21">
        <v>85</v>
      </c>
      <c r="Q64">
        <f t="shared" si="17"/>
        <v>25</v>
      </c>
      <c r="R64">
        <f t="shared" si="18"/>
        <v>25</v>
      </c>
      <c r="S64">
        <f t="shared" si="20"/>
        <v>19.5</v>
      </c>
      <c r="T64">
        <f t="shared" si="19"/>
        <v>19.5</v>
      </c>
    </row>
    <row r="65" spans="1:20">
      <c r="A65" t="s">
        <v>39</v>
      </c>
      <c r="B65">
        <v>43.6</v>
      </c>
      <c r="C65">
        <v>40</v>
      </c>
      <c r="D65">
        <v>60</v>
      </c>
      <c r="E65">
        <v>50</v>
      </c>
      <c r="F65">
        <v>20</v>
      </c>
      <c r="K65" t="s">
        <v>25</v>
      </c>
      <c r="L65" s="21">
        <v>65</v>
      </c>
      <c r="M65" s="21">
        <v>85</v>
      </c>
      <c r="N65" s="21">
        <v>95</v>
      </c>
      <c r="O65" s="21">
        <v>70</v>
      </c>
      <c r="P65" s="21">
        <v>85</v>
      </c>
      <c r="Q65">
        <f t="shared" si="17"/>
        <v>20</v>
      </c>
      <c r="R65">
        <f t="shared" si="18"/>
        <v>20</v>
      </c>
      <c r="S65">
        <f t="shared" si="20"/>
        <v>9</v>
      </c>
      <c r="T65">
        <f t="shared" si="19"/>
        <v>9</v>
      </c>
    </row>
    <row r="66" spans="1:20">
      <c r="A66" t="s">
        <v>40</v>
      </c>
      <c r="B66">
        <v>77.8</v>
      </c>
      <c r="C66">
        <v>85</v>
      </c>
      <c r="D66">
        <v>70</v>
      </c>
      <c r="E66">
        <v>80</v>
      </c>
      <c r="F66">
        <v>40</v>
      </c>
      <c r="K66" t="s">
        <v>26</v>
      </c>
      <c r="L66" s="21">
        <v>65</v>
      </c>
      <c r="M66" s="21">
        <v>85</v>
      </c>
      <c r="N66" s="21">
        <v>95</v>
      </c>
      <c r="O66" s="21">
        <v>70</v>
      </c>
      <c r="P66" s="21">
        <v>85</v>
      </c>
      <c r="Q66">
        <f t="shared" si="17"/>
        <v>20</v>
      </c>
      <c r="R66">
        <f t="shared" si="18"/>
        <v>20</v>
      </c>
      <c r="S66">
        <f t="shared" si="20"/>
        <v>9</v>
      </c>
      <c r="T66">
        <f t="shared" si="19"/>
        <v>9</v>
      </c>
    </row>
    <row r="67" spans="1:20">
      <c r="A67" t="s">
        <v>41</v>
      </c>
      <c r="B67">
        <v>80.6</v>
      </c>
      <c r="C67">
        <v>85</v>
      </c>
      <c r="D67">
        <v>70</v>
      </c>
      <c r="E67">
        <v>90</v>
      </c>
      <c r="F67">
        <v>60</v>
      </c>
      <c r="K67" t="s">
        <v>27</v>
      </c>
      <c r="L67" s="21">
        <v>65</v>
      </c>
      <c r="M67" s="21">
        <v>85</v>
      </c>
      <c r="N67" s="21">
        <v>95</v>
      </c>
      <c r="O67" s="21">
        <v>85</v>
      </c>
      <c r="P67" s="21">
        <v>85</v>
      </c>
      <c r="Q67">
        <f t="shared" si="17"/>
        <v>20</v>
      </c>
      <c r="R67">
        <f t="shared" si="18"/>
        <v>20</v>
      </c>
      <c r="S67">
        <f t="shared" si="20"/>
        <v>9</v>
      </c>
      <c r="T67">
        <f t="shared" si="19"/>
        <v>9</v>
      </c>
    </row>
    <row r="68" spans="1:20">
      <c r="A68" t="s">
        <v>42</v>
      </c>
      <c r="B68">
        <v>79.4</v>
      </c>
      <c r="C68">
        <v>85</v>
      </c>
      <c r="D68">
        <v>70</v>
      </c>
      <c r="E68">
        <v>80</v>
      </c>
      <c r="F68">
        <v>60</v>
      </c>
      <c r="K68" t="s">
        <v>28</v>
      </c>
      <c r="L68" s="21">
        <v>65</v>
      </c>
      <c r="M68" s="21">
        <v>90</v>
      </c>
      <c r="N68" s="21">
        <v>95</v>
      </c>
      <c r="O68" s="21">
        <v>85</v>
      </c>
      <c r="P68" s="21">
        <v>85</v>
      </c>
      <c r="Q68">
        <f t="shared" si="17"/>
        <v>20</v>
      </c>
      <c r="R68">
        <f t="shared" si="18"/>
        <v>20</v>
      </c>
      <c r="S68">
        <f t="shared" si="20"/>
        <v>9</v>
      </c>
      <c r="T68">
        <f t="shared" si="19"/>
        <v>9</v>
      </c>
    </row>
    <row r="69" spans="1:20">
      <c r="A69" t="s">
        <v>43</v>
      </c>
      <c r="B69">
        <v>9</v>
      </c>
      <c r="C69">
        <v>10</v>
      </c>
      <c r="D69">
        <v>15</v>
      </c>
      <c r="E69">
        <v>0</v>
      </c>
      <c r="F69">
        <v>0</v>
      </c>
      <c r="K69" t="s">
        <v>29</v>
      </c>
      <c r="L69" s="21">
        <v>0</v>
      </c>
      <c r="M69" s="21">
        <v>85</v>
      </c>
      <c r="N69" s="21">
        <v>40</v>
      </c>
      <c r="O69" s="21">
        <v>20</v>
      </c>
      <c r="P69" s="21">
        <v>85</v>
      </c>
      <c r="Q69">
        <f t="shared" si="17"/>
        <v>85</v>
      </c>
      <c r="R69">
        <f t="shared" si="18"/>
        <v>85</v>
      </c>
      <c r="S69">
        <f t="shared" si="20"/>
        <v>35</v>
      </c>
      <c r="T69">
        <f t="shared" si="19"/>
        <v>35</v>
      </c>
    </row>
    <row r="70" spans="1:20">
      <c r="A70" t="s">
        <v>44</v>
      </c>
      <c r="B70">
        <v>91.6</v>
      </c>
      <c r="C70">
        <v>95</v>
      </c>
      <c r="D70">
        <v>90</v>
      </c>
      <c r="E70">
        <v>85</v>
      </c>
      <c r="F70">
        <v>80</v>
      </c>
      <c r="K70" t="s">
        <v>30</v>
      </c>
      <c r="L70" s="21">
        <v>60</v>
      </c>
      <c r="M70" s="21">
        <v>85</v>
      </c>
      <c r="N70" s="21">
        <v>95</v>
      </c>
      <c r="O70" s="21">
        <v>70</v>
      </c>
      <c r="P70" s="21">
        <v>85</v>
      </c>
      <c r="Q70">
        <f t="shared" si="17"/>
        <v>25</v>
      </c>
      <c r="R70">
        <f t="shared" si="18"/>
        <v>25</v>
      </c>
      <c r="S70">
        <f t="shared" si="20"/>
        <v>19.5</v>
      </c>
      <c r="T70">
        <f t="shared" si="19"/>
        <v>19.5</v>
      </c>
    </row>
    <row r="71" spans="1:20">
      <c r="A71" t="s">
        <v>46</v>
      </c>
      <c r="B71">
        <v>9</v>
      </c>
      <c r="C71">
        <v>10</v>
      </c>
      <c r="D71">
        <v>15</v>
      </c>
      <c r="E71">
        <v>0</v>
      </c>
      <c r="F71">
        <v>0</v>
      </c>
      <c r="K71" t="s">
        <v>31</v>
      </c>
      <c r="L71" s="21">
        <v>40</v>
      </c>
      <c r="M71" s="21">
        <v>85</v>
      </c>
      <c r="N71" s="21">
        <v>95</v>
      </c>
      <c r="O71" s="21">
        <v>90</v>
      </c>
      <c r="P71" s="21">
        <v>85</v>
      </c>
      <c r="Q71">
        <f t="shared" si="17"/>
        <v>45</v>
      </c>
      <c r="R71">
        <f t="shared" si="18"/>
        <v>45</v>
      </c>
      <c r="S71">
        <f t="shared" si="20"/>
        <v>27.5</v>
      </c>
      <c r="T71">
        <f t="shared" si="19"/>
        <v>27.5</v>
      </c>
    </row>
    <row r="72" spans="1:20">
      <c r="A72" t="s">
        <v>45</v>
      </c>
      <c r="B72">
        <v>55.2</v>
      </c>
      <c r="C72">
        <v>60</v>
      </c>
      <c r="D72">
        <v>40</v>
      </c>
      <c r="E72">
        <v>80</v>
      </c>
      <c r="F72">
        <v>20</v>
      </c>
      <c r="K72" t="s">
        <v>32</v>
      </c>
      <c r="L72" s="21">
        <v>65</v>
      </c>
      <c r="M72" s="21">
        <v>85</v>
      </c>
      <c r="N72" s="21">
        <v>95</v>
      </c>
      <c r="O72" s="21">
        <v>90</v>
      </c>
      <c r="P72" s="21">
        <v>85</v>
      </c>
      <c r="Q72">
        <f t="shared" si="17"/>
        <v>20</v>
      </c>
      <c r="R72">
        <f t="shared" si="18"/>
        <v>20</v>
      </c>
      <c r="S72">
        <f t="shared" si="20"/>
        <v>9</v>
      </c>
      <c r="T72">
        <f t="shared" si="19"/>
        <v>9</v>
      </c>
    </row>
    <row r="73" spans="1:20">
      <c r="A73" t="s">
        <v>47</v>
      </c>
      <c r="B73">
        <v>32</v>
      </c>
      <c r="C73">
        <v>20</v>
      </c>
      <c r="D73">
        <v>40</v>
      </c>
      <c r="E73">
        <v>80</v>
      </c>
      <c r="F73">
        <v>30</v>
      </c>
      <c r="K73" t="s">
        <v>33</v>
      </c>
      <c r="L73" s="21">
        <v>65</v>
      </c>
      <c r="M73" s="21">
        <v>85</v>
      </c>
      <c r="N73" s="21">
        <v>85</v>
      </c>
      <c r="O73" s="21">
        <v>70</v>
      </c>
      <c r="P73" s="21">
        <v>85</v>
      </c>
      <c r="Q73">
        <f t="shared" si="17"/>
        <v>20</v>
      </c>
      <c r="R73">
        <f t="shared" si="18"/>
        <v>20</v>
      </c>
      <c r="S73">
        <f t="shared" si="20"/>
        <v>9</v>
      </c>
      <c r="T73">
        <f t="shared" si="19"/>
        <v>9</v>
      </c>
    </row>
    <row r="74" spans="1:20">
      <c r="A74" t="s">
        <v>48</v>
      </c>
      <c r="B74">
        <v>79.2</v>
      </c>
      <c r="C74">
        <v>85</v>
      </c>
      <c r="D74">
        <v>75</v>
      </c>
      <c r="E74">
        <v>70</v>
      </c>
      <c r="F74">
        <v>60</v>
      </c>
      <c r="K74" t="s">
        <v>34</v>
      </c>
      <c r="L74" s="21">
        <v>65</v>
      </c>
      <c r="M74" s="21">
        <v>85</v>
      </c>
      <c r="N74" s="21">
        <v>85</v>
      </c>
      <c r="O74" s="21">
        <v>70</v>
      </c>
      <c r="P74" s="21">
        <v>85</v>
      </c>
      <c r="Q74">
        <f t="shared" si="17"/>
        <v>20</v>
      </c>
      <c r="R74">
        <f t="shared" si="18"/>
        <v>20</v>
      </c>
      <c r="S74">
        <f t="shared" si="20"/>
        <v>9</v>
      </c>
      <c r="T74">
        <f t="shared" si="19"/>
        <v>9</v>
      </c>
    </row>
    <row r="75" spans="1:20">
      <c r="A75" t="s">
        <v>49</v>
      </c>
      <c r="B75">
        <v>80.4</v>
      </c>
      <c r="C75">
        <v>85</v>
      </c>
      <c r="D75">
        <v>75</v>
      </c>
      <c r="E75">
        <v>80</v>
      </c>
      <c r="F75">
        <v>60</v>
      </c>
      <c r="K75" t="s">
        <v>35</v>
      </c>
      <c r="L75" s="21">
        <v>40</v>
      </c>
      <c r="M75" s="21">
        <v>70</v>
      </c>
      <c r="N75" s="21">
        <v>85</v>
      </c>
      <c r="O75" s="21">
        <v>70</v>
      </c>
      <c r="P75" s="21">
        <v>85</v>
      </c>
      <c r="Q75">
        <f t="shared" si="17"/>
        <v>45</v>
      </c>
      <c r="R75">
        <f t="shared" si="18"/>
        <v>45</v>
      </c>
      <c r="S75">
        <f t="shared" si="20"/>
        <v>27.5</v>
      </c>
      <c r="T75">
        <f t="shared" si="19"/>
        <v>27.5</v>
      </c>
    </row>
    <row r="76" spans="1:20">
      <c r="A76" t="s">
        <v>50</v>
      </c>
      <c r="B76">
        <v>85.4</v>
      </c>
      <c r="C76">
        <v>90</v>
      </c>
      <c r="D76">
        <v>85</v>
      </c>
      <c r="E76">
        <v>70</v>
      </c>
      <c r="F76">
        <v>75</v>
      </c>
      <c r="K76" t="s">
        <v>36</v>
      </c>
      <c r="L76" s="21">
        <v>60</v>
      </c>
      <c r="M76" s="21">
        <v>70</v>
      </c>
      <c r="N76" s="21">
        <v>85</v>
      </c>
      <c r="O76" s="21">
        <v>40</v>
      </c>
      <c r="P76" s="21">
        <v>65</v>
      </c>
      <c r="Q76">
        <f t="shared" si="17"/>
        <v>5</v>
      </c>
      <c r="R76">
        <f t="shared" si="18"/>
        <v>5</v>
      </c>
      <c r="S76">
        <f t="shared" si="20"/>
        <v>2</v>
      </c>
      <c r="T76">
        <f t="shared" si="19"/>
        <v>2</v>
      </c>
    </row>
    <row r="77" spans="1:20">
      <c r="A77" t="s">
        <v>51</v>
      </c>
      <c r="B77">
        <v>72.4</v>
      </c>
      <c r="C77">
        <v>75</v>
      </c>
      <c r="D77">
        <v>70</v>
      </c>
      <c r="E77">
        <v>85</v>
      </c>
      <c r="F77">
        <v>40</v>
      </c>
      <c r="K77" t="s">
        <v>37</v>
      </c>
      <c r="L77" s="21">
        <v>65</v>
      </c>
      <c r="M77" s="21">
        <v>90</v>
      </c>
      <c r="N77" s="21">
        <v>95</v>
      </c>
      <c r="O77" s="21">
        <v>70</v>
      </c>
      <c r="P77" s="21">
        <v>85</v>
      </c>
      <c r="Q77">
        <f t="shared" si="17"/>
        <v>20</v>
      </c>
      <c r="R77">
        <f t="shared" si="18"/>
        <v>20</v>
      </c>
      <c r="S77">
        <f t="shared" si="20"/>
        <v>9</v>
      </c>
      <c r="T77">
        <f t="shared" si="19"/>
        <v>9</v>
      </c>
    </row>
    <row r="78" spans="1:20">
      <c r="A78" t="s">
        <v>54</v>
      </c>
      <c r="B78">
        <v>62</v>
      </c>
      <c r="C78">
        <v>70</v>
      </c>
      <c r="D78">
        <v>40</v>
      </c>
      <c r="E78">
        <v>80</v>
      </c>
      <c r="F78">
        <v>30</v>
      </c>
      <c r="K78" t="s">
        <v>38</v>
      </c>
      <c r="L78" s="21">
        <v>60</v>
      </c>
      <c r="M78" s="21">
        <v>85</v>
      </c>
      <c r="N78" s="21">
        <v>95</v>
      </c>
      <c r="O78" s="21">
        <v>70</v>
      </c>
      <c r="P78" s="21">
        <v>95</v>
      </c>
      <c r="Q78">
        <f t="shared" si="17"/>
        <v>35</v>
      </c>
      <c r="R78">
        <f t="shared" si="18"/>
        <v>35</v>
      </c>
      <c r="S78">
        <f t="shared" si="20"/>
        <v>25</v>
      </c>
      <c r="T78">
        <f t="shared" si="19"/>
        <v>25</v>
      </c>
    </row>
    <row r="79" spans="1:20">
      <c r="A79" t="s">
        <v>52</v>
      </c>
      <c r="B79">
        <v>66.8</v>
      </c>
      <c r="C79">
        <v>70</v>
      </c>
      <c r="D79">
        <v>60</v>
      </c>
      <c r="E79">
        <v>80</v>
      </c>
      <c r="F79">
        <v>40</v>
      </c>
      <c r="K79" t="s">
        <v>39</v>
      </c>
      <c r="L79" s="21">
        <v>20</v>
      </c>
      <c r="M79" s="21">
        <v>40</v>
      </c>
      <c r="N79" s="21">
        <v>95</v>
      </c>
      <c r="O79" s="21">
        <v>85</v>
      </c>
      <c r="P79" s="21">
        <v>85</v>
      </c>
      <c r="Q79">
        <f t="shared" si="17"/>
        <v>65</v>
      </c>
      <c r="R79">
        <f t="shared" si="18"/>
        <v>65</v>
      </c>
      <c r="S79">
        <f t="shared" si="20"/>
        <v>32.5</v>
      </c>
      <c r="T79">
        <f t="shared" si="19"/>
        <v>32.5</v>
      </c>
    </row>
    <row r="80" spans="1:20">
      <c r="A80" t="s">
        <v>53</v>
      </c>
      <c r="B80">
        <v>79.2</v>
      </c>
      <c r="C80">
        <v>85</v>
      </c>
      <c r="D80">
        <v>75</v>
      </c>
      <c r="E80">
        <v>70</v>
      </c>
      <c r="F80">
        <v>60</v>
      </c>
      <c r="K80" t="s">
        <v>40</v>
      </c>
      <c r="L80" s="21">
        <v>60</v>
      </c>
      <c r="M80" s="21">
        <v>85</v>
      </c>
      <c r="N80" s="21">
        <v>95</v>
      </c>
      <c r="O80" s="21">
        <v>85</v>
      </c>
      <c r="P80" s="21">
        <v>85</v>
      </c>
      <c r="Q80">
        <f t="shared" si="17"/>
        <v>25</v>
      </c>
      <c r="R80">
        <f t="shared" si="18"/>
        <v>25</v>
      </c>
      <c r="S80">
        <f t="shared" si="20"/>
        <v>19.5</v>
      </c>
      <c r="T80">
        <f t="shared" si="19"/>
        <v>19.5</v>
      </c>
    </row>
    <row r="81" spans="1:20">
      <c r="A81" t="s">
        <v>55</v>
      </c>
      <c r="B81">
        <v>77.8</v>
      </c>
      <c r="C81">
        <v>85</v>
      </c>
      <c r="D81">
        <v>70</v>
      </c>
      <c r="E81">
        <v>80</v>
      </c>
      <c r="F81">
        <v>40</v>
      </c>
      <c r="K81" t="s">
        <v>41</v>
      </c>
      <c r="L81" s="21">
        <v>60</v>
      </c>
      <c r="M81" s="21">
        <v>85</v>
      </c>
      <c r="N81" s="21">
        <v>40</v>
      </c>
      <c r="O81" s="21">
        <v>40</v>
      </c>
      <c r="P81" s="21">
        <v>40</v>
      </c>
      <c r="Q81">
        <f t="shared" si="17"/>
        <v>-20</v>
      </c>
      <c r="R81">
        <f t="shared" si="18"/>
        <v>20</v>
      </c>
      <c r="S81">
        <f t="shared" si="20"/>
        <v>9</v>
      </c>
      <c r="T81">
        <f t="shared" si="19"/>
        <v>0</v>
      </c>
    </row>
    <row r="82" spans="1:20">
      <c r="A82" t="s">
        <v>56</v>
      </c>
      <c r="B82" s="12">
        <f>AVERAGE(B46:B81)</f>
        <v>70.1777777777778</v>
      </c>
      <c r="C82" s="12">
        <f>AVERAGE(C46:C81)</f>
        <v>74.7222222222222</v>
      </c>
      <c r="D82" s="12">
        <f>AVERAGE(D46:D81)</f>
        <v>64.7222222222222</v>
      </c>
      <c r="E82" s="12">
        <f>AVERAGE(E46:E81)</f>
        <v>71.9444444444444</v>
      </c>
      <c r="F82" s="12">
        <f>AVERAGE(F46:F81)</f>
        <v>47.0833333333333</v>
      </c>
      <c r="K82" t="s">
        <v>42</v>
      </c>
      <c r="L82" s="21">
        <v>60</v>
      </c>
      <c r="M82" s="21">
        <v>85</v>
      </c>
      <c r="N82" s="21">
        <v>95</v>
      </c>
      <c r="O82" s="21">
        <v>80</v>
      </c>
      <c r="P82" s="21">
        <v>85</v>
      </c>
      <c r="Q82">
        <f t="shared" si="17"/>
        <v>25</v>
      </c>
      <c r="R82">
        <f t="shared" si="18"/>
        <v>25</v>
      </c>
      <c r="S82">
        <f t="shared" si="20"/>
        <v>19.5</v>
      </c>
      <c r="T82">
        <f t="shared" si="19"/>
        <v>19.5</v>
      </c>
    </row>
    <row r="83" spans="1:20">
      <c r="A83" t="s">
        <v>57</v>
      </c>
      <c r="B83" s="12">
        <f>_xlfn.STDEV.S(B46:B81)</f>
        <v>19.6119367603524</v>
      </c>
      <c r="C83" s="12">
        <f>_xlfn.STDEV.S(C46:C81)</f>
        <v>21.6116517661999</v>
      </c>
      <c r="D83" s="12">
        <f>_xlfn.STDEV.S(D46:D81)</f>
        <v>20.3520600727875</v>
      </c>
      <c r="E83" s="12">
        <f>_xlfn.STDEV.S(E46:E81)</f>
        <v>19.1340301847549</v>
      </c>
      <c r="F83" s="12">
        <f>_xlfn.STDEV.S(F46:F81)</f>
        <v>20.9889426671692</v>
      </c>
      <c r="K83" t="s">
        <v>43</v>
      </c>
      <c r="L83" s="21">
        <v>40</v>
      </c>
      <c r="M83" s="21">
        <v>10</v>
      </c>
      <c r="N83" s="21">
        <v>70</v>
      </c>
      <c r="O83" s="21">
        <v>85</v>
      </c>
      <c r="P83" s="21">
        <v>85</v>
      </c>
      <c r="Q83">
        <f t="shared" si="17"/>
        <v>45</v>
      </c>
      <c r="R83">
        <f t="shared" si="18"/>
        <v>45</v>
      </c>
      <c r="S83">
        <f t="shared" si="20"/>
        <v>27.5</v>
      </c>
      <c r="T83">
        <f t="shared" si="19"/>
        <v>27.5</v>
      </c>
    </row>
    <row r="84" spans="1:20">
      <c r="K84" t="s">
        <v>44</v>
      </c>
      <c r="L84" s="21">
        <v>60</v>
      </c>
      <c r="M84" s="21">
        <v>95</v>
      </c>
      <c r="N84" s="21">
        <v>95</v>
      </c>
      <c r="O84" s="21">
        <v>85</v>
      </c>
      <c r="P84" s="21">
        <v>85</v>
      </c>
      <c r="Q84">
        <f t="shared" si="17"/>
        <v>25</v>
      </c>
      <c r="R84">
        <f t="shared" si="18"/>
        <v>25</v>
      </c>
      <c r="S84">
        <f t="shared" si="20"/>
        <v>19.5</v>
      </c>
      <c r="T84">
        <f t="shared" si="19"/>
        <v>19.5</v>
      </c>
    </row>
    <row r="85" spans="1:20">
      <c r="K85" t="s">
        <v>46</v>
      </c>
      <c r="L85" s="21">
        <v>0</v>
      </c>
      <c r="M85" s="21">
        <v>10</v>
      </c>
      <c r="N85" s="21">
        <v>85</v>
      </c>
      <c r="O85" s="21">
        <v>70</v>
      </c>
      <c r="P85" s="21">
        <v>85</v>
      </c>
      <c r="Q85">
        <f t="shared" si="17"/>
        <v>85</v>
      </c>
      <c r="R85">
        <f t="shared" si="18"/>
        <v>85</v>
      </c>
      <c r="S85">
        <f t="shared" si="20"/>
        <v>35</v>
      </c>
      <c r="T85">
        <f t="shared" si="19"/>
        <v>35</v>
      </c>
    </row>
    <row r="86" spans="1:20">
      <c r="A86" s="2" t="s">
        <v>12</v>
      </c>
      <c r="B86" s="2" t="s">
        <v>3</v>
      </c>
      <c r="C86" s="2" t="s">
        <v>6</v>
      </c>
      <c r="D86" s="2" t="s">
        <v>7</v>
      </c>
      <c r="E86" s="2" t="s">
        <v>8</v>
      </c>
      <c r="F86" s="2" t="s">
        <v>9</v>
      </c>
      <c r="K86" t="s">
        <v>45</v>
      </c>
      <c r="L86" s="21">
        <v>30</v>
      </c>
      <c r="M86" s="21">
        <v>60</v>
      </c>
      <c r="N86" s="21">
        <v>95</v>
      </c>
      <c r="O86" s="21">
        <v>60</v>
      </c>
      <c r="P86" s="21">
        <v>85</v>
      </c>
      <c r="Q86">
        <f t="shared" si="17"/>
        <v>55</v>
      </c>
      <c r="R86">
        <f t="shared" si="18"/>
        <v>55</v>
      </c>
      <c r="S86">
        <f t="shared" si="20"/>
        <v>30.5</v>
      </c>
      <c r="T86">
        <f t="shared" si="19"/>
        <v>30.5</v>
      </c>
    </row>
    <row r="87" spans="1:20">
      <c r="A87" t="s">
        <v>20</v>
      </c>
      <c r="B87">
        <v>91.6</v>
      </c>
      <c r="C87">
        <v>95</v>
      </c>
      <c r="D87">
        <v>85</v>
      </c>
      <c r="E87">
        <v>90</v>
      </c>
      <c r="F87">
        <v>85</v>
      </c>
      <c r="K87" t="s">
        <v>47</v>
      </c>
      <c r="L87" s="21">
        <v>30</v>
      </c>
      <c r="M87" s="21">
        <v>20</v>
      </c>
      <c r="N87" s="21">
        <v>95</v>
      </c>
      <c r="O87" s="21">
        <v>80</v>
      </c>
      <c r="P87" s="21">
        <v>85</v>
      </c>
      <c r="Q87">
        <f t="shared" si="17"/>
        <v>55</v>
      </c>
      <c r="R87">
        <f t="shared" si="18"/>
        <v>55</v>
      </c>
      <c r="S87">
        <f t="shared" si="20"/>
        <v>30.5</v>
      </c>
      <c r="T87">
        <f t="shared" si="19"/>
        <v>30.5</v>
      </c>
    </row>
    <row r="88" spans="1:20">
      <c r="A88" t="s">
        <v>21</v>
      </c>
      <c r="B88">
        <v>87.6</v>
      </c>
      <c r="C88">
        <v>95</v>
      </c>
      <c r="D88">
        <v>65</v>
      </c>
      <c r="E88">
        <v>90</v>
      </c>
      <c r="F88">
        <v>85</v>
      </c>
      <c r="K88" t="s">
        <v>48</v>
      </c>
      <c r="L88" s="21">
        <v>65</v>
      </c>
      <c r="M88" s="21">
        <v>85</v>
      </c>
      <c r="N88" s="21">
        <v>95</v>
      </c>
      <c r="O88" s="21">
        <v>70</v>
      </c>
      <c r="P88" s="21">
        <v>70</v>
      </c>
      <c r="Q88">
        <f t="shared" si="17"/>
        <v>5</v>
      </c>
      <c r="R88">
        <f t="shared" si="18"/>
        <v>5</v>
      </c>
      <c r="S88">
        <f t="shared" si="20"/>
        <v>2</v>
      </c>
      <c r="T88">
        <f t="shared" si="19"/>
        <v>2</v>
      </c>
    </row>
    <row r="89" spans="1:20">
      <c r="A89" t="s">
        <v>22</v>
      </c>
      <c r="B89">
        <v>76.2</v>
      </c>
      <c r="C89">
        <v>85</v>
      </c>
      <c r="D89">
        <v>40</v>
      </c>
      <c r="E89">
        <v>90</v>
      </c>
      <c r="F89">
        <v>80</v>
      </c>
      <c r="K89" t="s">
        <v>49</v>
      </c>
      <c r="L89" s="21">
        <v>65</v>
      </c>
      <c r="M89" s="21">
        <v>85</v>
      </c>
      <c r="N89" s="21">
        <v>95</v>
      </c>
      <c r="O89" s="21">
        <v>40</v>
      </c>
      <c r="P89" s="21">
        <v>85</v>
      </c>
      <c r="Q89">
        <f t="shared" si="17"/>
        <v>20</v>
      </c>
      <c r="R89">
        <f t="shared" si="18"/>
        <v>20</v>
      </c>
      <c r="S89">
        <f t="shared" si="20"/>
        <v>9</v>
      </c>
      <c r="T89">
        <f t="shared" si="19"/>
        <v>9</v>
      </c>
    </row>
    <row r="90" spans="1:20">
      <c r="A90" t="s">
        <v>23</v>
      </c>
      <c r="B90">
        <v>28</v>
      </c>
      <c r="C90">
        <v>0</v>
      </c>
      <c r="D90">
        <v>40</v>
      </c>
      <c r="E90">
        <v>100</v>
      </c>
      <c r="F90">
        <v>100</v>
      </c>
      <c r="K90" t="s">
        <v>50</v>
      </c>
      <c r="L90" s="21">
        <v>60</v>
      </c>
      <c r="M90" s="21">
        <v>90</v>
      </c>
      <c r="N90" s="21">
        <v>95</v>
      </c>
      <c r="O90" s="21">
        <v>85</v>
      </c>
      <c r="P90" s="21">
        <v>85</v>
      </c>
      <c r="Q90">
        <f t="shared" si="17"/>
        <v>25</v>
      </c>
      <c r="R90">
        <f t="shared" si="18"/>
        <v>25</v>
      </c>
      <c r="S90">
        <f t="shared" si="20"/>
        <v>19.5</v>
      </c>
      <c r="T90">
        <f t="shared" si="19"/>
        <v>19.5</v>
      </c>
    </row>
    <row r="91" spans="1:20">
      <c r="A91" t="s">
        <v>24</v>
      </c>
      <c r="B91">
        <v>93.2</v>
      </c>
      <c r="C91">
        <v>95</v>
      </c>
      <c r="D91">
        <v>85</v>
      </c>
      <c r="E91">
        <v>100</v>
      </c>
      <c r="F91">
        <v>90</v>
      </c>
      <c r="K91" t="s">
        <v>51</v>
      </c>
      <c r="L91" s="21">
        <v>60</v>
      </c>
      <c r="M91" s="21">
        <v>75</v>
      </c>
      <c r="N91" s="21">
        <v>95</v>
      </c>
      <c r="O91" s="21">
        <v>85</v>
      </c>
      <c r="P91" s="21">
        <v>85</v>
      </c>
      <c r="Q91">
        <f t="shared" si="17"/>
        <v>25</v>
      </c>
      <c r="R91">
        <f t="shared" si="18"/>
        <v>25</v>
      </c>
      <c r="S91">
        <f t="shared" si="20"/>
        <v>19.5</v>
      </c>
      <c r="T91">
        <f t="shared" si="19"/>
        <v>19.5</v>
      </c>
    </row>
    <row r="92" spans="1:20">
      <c r="A92" t="s">
        <v>25</v>
      </c>
      <c r="B92">
        <v>91.2</v>
      </c>
      <c r="C92">
        <v>95</v>
      </c>
      <c r="D92">
        <v>75</v>
      </c>
      <c r="E92">
        <v>100</v>
      </c>
      <c r="F92">
        <v>90</v>
      </c>
      <c r="K92" t="s">
        <v>54</v>
      </c>
      <c r="L92" s="21">
        <v>0</v>
      </c>
      <c r="M92" s="21">
        <v>70</v>
      </c>
      <c r="N92" s="21">
        <v>95</v>
      </c>
      <c r="O92" s="21">
        <v>70</v>
      </c>
      <c r="P92" s="21">
        <v>85</v>
      </c>
      <c r="Q92">
        <f t="shared" si="17"/>
        <v>85</v>
      </c>
      <c r="R92">
        <f t="shared" si="18"/>
        <v>85</v>
      </c>
      <c r="S92">
        <f t="shared" si="20"/>
        <v>35</v>
      </c>
      <c r="T92">
        <f t="shared" si="19"/>
        <v>35</v>
      </c>
    </row>
    <row r="93" spans="1:20">
      <c r="A93" t="s">
        <v>26</v>
      </c>
      <c r="B93">
        <v>94</v>
      </c>
      <c r="C93">
        <v>95</v>
      </c>
      <c r="D93">
        <v>85</v>
      </c>
      <c r="E93">
        <v>100</v>
      </c>
      <c r="F93">
        <v>100</v>
      </c>
      <c r="K93" t="s">
        <v>52</v>
      </c>
      <c r="L93" s="21">
        <v>20</v>
      </c>
      <c r="M93" s="21">
        <v>70</v>
      </c>
      <c r="N93" s="21">
        <v>95</v>
      </c>
      <c r="O93" s="21">
        <v>40</v>
      </c>
      <c r="P93" s="21">
        <v>85</v>
      </c>
      <c r="Q93">
        <f t="shared" si="17"/>
        <v>65</v>
      </c>
      <c r="R93">
        <f t="shared" si="18"/>
        <v>65</v>
      </c>
      <c r="S93">
        <f t="shared" si="20"/>
        <v>32.5</v>
      </c>
      <c r="T93">
        <f t="shared" si="19"/>
        <v>32.5</v>
      </c>
    </row>
    <row r="94" spans="1:20">
      <c r="A94" t="s">
        <v>27</v>
      </c>
      <c r="B94">
        <v>93.2</v>
      </c>
      <c r="C94">
        <v>95</v>
      </c>
      <c r="D94">
        <v>85</v>
      </c>
      <c r="E94">
        <v>100</v>
      </c>
      <c r="F94">
        <v>90</v>
      </c>
      <c r="K94" t="s">
        <v>53</v>
      </c>
      <c r="L94" s="21">
        <v>60</v>
      </c>
      <c r="M94" s="21">
        <v>85</v>
      </c>
      <c r="N94" s="21">
        <v>95</v>
      </c>
      <c r="O94" s="21">
        <v>85</v>
      </c>
      <c r="P94" s="21">
        <v>85</v>
      </c>
      <c r="Q94">
        <f t="shared" si="17"/>
        <v>25</v>
      </c>
      <c r="R94">
        <f t="shared" si="18"/>
        <v>25</v>
      </c>
      <c r="S94">
        <f t="shared" si="20"/>
        <v>19.5</v>
      </c>
      <c r="T94">
        <f t="shared" si="19"/>
        <v>19.5</v>
      </c>
    </row>
    <row r="95" spans="1:20">
      <c r="A95" t="s">
        <v>28</v>
      </c>
      <c r="B95">
        <v>88.6</v>
      </c>
      <c r="C95">
        <v>95</v>
      </c>
      <c r="D95">
        <v>70</v>
      </c>
      <c r="E95">
        <v>90</v>
      </c>
      <c r="F95">
        <v>85</v>
      </c>
      <c r="K95" t="s">
        <v>55</v>
      </c>
      <c r="L95" s="21">
        <v>60</v>
      </c>
      <c r="M95" s="21">
        <v>85</v>
      </c>
      <c r="N95" s="21">
        <v>95</v>
      </c>
      <c r="O95" s="21">
        <v>70</v>
      </c>
      <c r="P95" s="21">
        <v>85</v>
      </c>
      <c r="Q95">
        <f t="shared" si="17"/>
        <v>25</v>
      </c>
      <c r="R95">
        <f t="shared" si="18"/>
        <v>25</v>
      </c>
      <c r="S95">
        <f t="shared" si="20"/>
        <v>19.5</v>
      </c>
      <c r="T95">
        <f t="shared" si="19"/>
        <v>19.5</v>
      </c>
    </row>
    <row r="96" spans="1:20">
      <c r="A96" t="s">
        <v>29</v>
      </c>
      <c r="B96">
        <v>45.2</v>
      </c>
      <c r="C96">
        <v>40</v>
      </c>
      <c r="D96">
        <v>20</v>
      </c>
      <c r="E96">
        <v>90</v>
      </c>
      <c r="F96">
        <v>80</v>
      </c>
      <c r="K96" t="s">
        <v>56</v>
      </c>
      <c r="L96" s="16">
        <f t="shared" ref="L96:P96" si="21">AVERAGE(L60:L95)</f>
        <v>50.6944444444444</v>
      </c>
      <c r="M96" s="16">
        <f t="shared" si="21"/>
        <v>74.7222222222222</v>
      </c>
      <c r="N96" s="16">
        <f t="shared" si="21"/>
        <v>86.9444444444444</v>
      </c>
      <c r="O96" s="16">
        <f t="shared" si="21"/>
        <v>70.1388888888889</v>
      </c>
      <c r="P96" s="16">
        <f t="shared" si="21"/>
        <v>82.7777777777778</v>
      </c>
      <c r="T96">
        <f>SUM(T60:T95)</f>
        <v>657</v>
      </c>
    </row>
    <row r="97" spans="1:17">
      <c r="A97" t="s">
        <v>30</v>
      </c>
      <c r="B97">
        <v>92.6</v>
      </c>
      <c r="C97">
        <v>95</v>
      </c>
      <c r="D97">
        <v>85</v>
      </c>
      <c r="E97">
        <v>95</v>
      </c>
      <c r="F97">
        <v>90</v>
      </c>
      <c r="K97" t="s">
        <v>57</v>
      </c>
      <c r="L97" s="16">
        <f t="shared" ref="L97:P97" si="22">_xlfn.STDEV.S(L60:L95)</f>
        <v>20.4643515054761</v>
      </c>
      <c r="M97" s="16">
        <f t="shared" si="22"/>
        <v>21.6116517661999</v>
      </c>
      <c r="N97" s="16">
        <f t="shared" si="22"/>
        <v>19.9741896949101</v>
      </c>
      <c r="O97" s="16">
        <f t="shared" si="22"/>
        <v>17.4636811334311</v>
      </c>
      <c r="P97" s="16">
        <f t="shared" si="22"/>
        <v>8.7378032908281</v>
      </c>
    </row>
    <row r="98" spans="1:17">
      <c r="A98" t="s">
        <v>31</v>
      </c>
      <c r="B98">
        <v>93.2</v>
      </c>
      <c r="C98">
        <v>95</v>
      </c>
      <c r="D98">
        <v>85</v>
      </c>
      <c r="E98">
        <v>100</v>
      </c>
      <c r="F98">
        <v>90</v>
      </c>
      <c r="K98" t="s">
        <v>58</v>
      </c>
      <c r="L98" s="48">
        <f t="shared" ref="L98:P98" si="23">_xlfn.STDEV.S(L60:L95)/AVERAGE(L60:L95)</f>
        <v>0.403680358464186</v>
      </c>
      <c r="M98" s="48">
        <f t="shared" si="23"/>
        <v>0.289226566387806</v>
      </c>
      <c r="N98" s="48">
        <f t="shared" si="23"/>
        <v>0.229735089142736</v>
      </c>
      <c r="O98" s="48">
        <f t="shared" si="23"/>
        <v>0.24898713695189</v>
      </c>
      <c r="P98" s="48">
        <f t="shared" si="23"/>
        <v>0.105557355191212</v>
      </c>
      <c r="Q98" s="10"/>
    </row>
    <row r="99" spans="1:17">
      <c r="A99" t="s">
        <v>32</v>
      </c>
      <c r="B99">
        <v>92.6</v>
      </c>
      <c r="C99">
        <v>95</v>
      </c>
      <c r="D99">
        <v>85</v>
      </c>
      <c r="E99">
        <v>95</v>
      </c>
      <c r="F99">
        <v>90</v>
      </c>
      <c r="K99" t="s">
        <v>59</v>
      </c>
      <c r="L99" s="10">
        <f>P96-L96</f>
        <v>32.0833333333333</v>
      </c>
      <c r="M99" s="10"/>
      <c r="N99" s="10"/>
      <c r="O99" s="10"/>
      <c r="P99" s="10"/>
      <c r="Q99" s="10"/>
    </row>
    <row r="100" spans="1:17">
      <c r="A100" t="s">
        <v>33</v>
      </c>
      <c r="B100">
        <v>80.4</v>
      </c>
      <c r="C100">
        <v>85</v>
      </c>
      <c r="D100">
        <v>65</v>
      </c>
      <c r="E100">
        <v>90</v>
      </c>
      <c r="F100">
        <v>70</v>
      </c>
      <c r="K100" t="s">
        <v>60</v>
      </c>
      <c r="L100" s="10">
        <f>AVERAGE(Q60:Q95)/(_xlfn.STDEV.S(Q60:Q95)/SQRT(COUNT(Q60:Q95)))</f>
        <v>8.22560516750584</v>
      </c>
      <c r="M100" s="10"/>
      <c r="N100" s="10"/>
      <c r="O100" s="10"/>
      <c r="P100" s="10"/>
      <c r="Q100" s="10"/>
    </row>
    <row r="101" spans="1:17">
      <c r="A101" t="s">
        <v>34</v>
      </c>
      <c r="B101">
        <v>76.2</v>
      </c>
      <c r="C101">
        <v>85</v>
      </c>
      <c r="D101">
        <v>40</v>
      </c>
      <c r="E101">
        <v>90</v>
      </c>
      <c r="F101">
        <v>80</v>
      </c>
      <c r="K101" t="s">
        <v>61</v>
      </c>
      <c r="L101" s="49" cm="1">
        <f t="array" ref="L101">TTEST(L60:L95,P60:P95,2,1)</f>
        <v>1.07914598965871e-9</v>
      </c>
      <c r="M101" s="10"/>
      <c r="N101" s="10"/>
      <c r="O101" s="10"/>
      <c r="P101" s="10"/>
      <c r="Q101" s="10"/>
    </row>
    <row r="102" spans="1:17">
      <c r="A102" t="s">
        <v>35</v>
      </c>
      <c r="B102">
        <v>81.6</v>
      </c>
      <c r="C102">
        <v>85</v>
      </c>
      <c r="D102">
        <v>60</v>
      </c>
      <c r="E102">
        <v>95</v>
      </c>
      <c r="F102">
        <v>90</v>
      </c>
      <c r="K102" t="s">
        <v>62</v>
      </c>
      <c r="L102" s="24">
        <f>AVERAGE(Q60:Q95)/_xlfn.STDEV.S(Q60:Q95)</f>
        <v>1.37093419458431</v>
      </c>
      <c r="M102" s="10"/>
      <c r="N102" s="10"/>
      <c r="O102" s="10"/>
      <c r="P102" s="10"/>
      <c r="Q102" s="10"/>
    </row>
    <row r="103" spans="1:17">
      <c r="A103" t="s">
        <v>36</v>
      </c>
      <c r="B103">
        <v>76.6</v>
      </c>
      <c r="C103">
        <v>85</v>
      </c>
      <c r="D103">
        <v>40</v>
      </c>
      <c r="E103">
        <v>90</v>
      </c>
      <c r="F103">
        <v>85</v>
      </c>
      <c r="K103" t="s">
        <v>63</v>
      </c>
      <c r="L103">
        <f>COUNT(Q60:Q95)</f>
        <v>36</v>
      </c>
      <c r="M103" s="10"/>
      <c r="N103" s="10"/>
      <c r="O103" s="10"/>
      <c r="P103" s="10"/>
      <c r="Q103" s="10"/>
    </row>
    <row r="104" spans="1:17">
      <c r="A104" t="s">
        <v>37</v>
      </c>
      <c r="B104">
        <v>92.6</v>
      </c>
      <c r="C104">
        <v>95</v>
      </c>
      <c r="D104">
        <v>85</v>
      </c>
      <c r="E104">
        <v>95</v>
      </c>
      <c r="F104">
        <v>90</v>
      </c>
      <c r="K104" t="s">
        <v>64</v>
      </c>
      <c r="L104">
        <f>TINV(0.05,L103-1)</f>
        <v>2.03010792825034</v>
      </c>
      <c r="M104" s="10"/>
      <c r="N104" s="10"/>
      <c r="O104" s="10"/>
      <c r="P104" s="10"/>
      <c r="Q104" s="10"/>
    </row>
    <row r="105" spans="1:17">
      <c r="A105" t="s">
        <v>38</v>
      </c>
      <c r="B105">
        <v>95</v>
      </c>
      <c r="C105">
        <v>95</v>
      </c>
      <c r="D105">
        <v>90</v>
      </c>
      <c r="E105">
        <v>100</v>
      </c>
      <c r="F105">
        <v>100</v>
      </c>
      <c r="K105" t="s">
        <v>65</v>
      </c>
      <c r="L105" s="50">
        <f>SQRT(1/L103+L102^2/(2*(L103-1)))</f>
        <v>0.233724655167601</v>
      </c>
      <c r="M105" s="10"/>
      <c r="N105" s="10"/>
      <c r="O105" s="10"/>
      <c r="P105" s="10"/>
      <c r="Q105" s="10"/>
    </row>
    <row r="106" spans="1:17">
      <c r="A106" t="s">
        <v>39</v>
      </c>
      <c r="B106">
        <v>92.6</v>
      </c>
      <c r="C106">
        <v>95</v>
      </c>
      <c r="D106">
        <v>85</v>
      </c>
      <c r="E106">
        <v>95</v>
      </c>
      <c r="F106">
        <v>90</v>
      </c>
      <c r="K106" t="s">
        <v>66</v>
      </c>
      <c r="L106" s="50">
        <f>L102-L104*L105</f>
        <v>0.896447919100983</v>
      </c>
      <c r="M106" s="10"/>
      <c r="N106" s="10"/>
      <c r="O106" s="10"/>
      <c r="P106" s="10"/>
      <c r="Q106" s="10"/>
    </row>
    <row r="107" spans="1:17">
      <c r="A107" t="s">
        <v>40</v>
      </c>
      <c r="B107">
        <v>93.2</v>
      </c>
      <c r="C107">
        <v>95</v>
      </c>
      <c r="D107">
        <v>85</v>
      </c>
      <c r="E107">
        <v>100</v>
      </c>
      <c r="F107">
        <v>90</v>
      </c>
      <c r="K107" t="s">
        <v>67</v>
      </c>
      <c r="L107" s="50">
        <f>L102+L105*L104</f>
        <v>1.84542047006763</v>
      </c>
      <c r="M107" s="10"/>
      <c r="N107" s="10"/>
      <c r="O107" s="10"/>
      <c r="P107" s="10"/>
      <c r="Q107" s="10"/>
    </row>
    <row r="108" spans="1:17">
      <c r="A108" t="s">
        <v>41</v>
      </c>
      <c r="B108">
        <v>47.2</v>
      </c>
      <c r="C108">
        <v>40</v>
      </c>
      <c r="D108">
        <v>30</v>
      </c>
      <c r="E108">
        <v>90</v>
      </c>
      <c r="F108">
        <v>80</v>
      </c>
      <c r="K108" t="s">
        <v>68</v>
      </c>
      <c r="L108" s="10">
        <f>MIN(T96:U96)</f>
        <v>657</v>
      </c>
      <c r="M108" s="10"/>
      <c r="N108" s="10"/>
      <c r="O108" s="10"/>
      <c r="P108" s="10"/>
      <c r="Q108" s="10"/>
    </row>
    <row r="109" spans="1:17">
      <c r="A109" t="s">
        <v>42</v>
      </c>
      <c r="B109">
        <v>91.6</v>
      </c>
      <c r="C109">
        <v>95</v>
      </c>
      <c r="D109">
        <v>90</v>
      </c>
      <c r="E109">
        <v>85</v>
      </c>
      <c r="F109">
        <v>80</v>
      </c>
      <c r="K109" t="s">
        <v>69</v>
      </c>
      <c r="L109" s="50"/>
      <c r="M109" s="51" t="s">
        <v>70</v>
      </c>
      <c r="N109" s="10"/>
      <c r="O109" s="10"/>
      <c r="P109" s="10"/>
      <c r="Q109" s="10"/>
    </row>
    <row r="110" spans="1:17">
      <c r="A110" t="s">
        <v>43</v>
      </c>
      <c r="B110">
        <v>67.2</v>
      </c>
      <c r="C110">
        <v>70</v>
      </c>
      <c r="D110">
        <v>40</v>
      </c>
      <c r="E110">
        <v>90</v>
      </c>
      <c r="F110">
        <v>80</v>
      </c>
      <c r="K110" t="s">
        <v>71</v>
      </c>
      <c r="L110" s="50"/>
      <c r="M110" s="51"/>
    </row>
    <row r="111" spans="1:17">
      <c r="A111" t="s">
        <v>44</v>
      </c>
      <c r="B111">
        <v>92.6</v>
      </c>
      <c r="C111">
        <v>95</v>
      </c>
      <c r="D111">
        <v>85</v>
      </c>
      <c r="E111">
        <v>95</v>
      </c>
      <c r="F111">
        <v>90</v>
      </c>
    </row>
    <row r="112" spans="1:17">
      <c r="A112" t="s">
        <v>46</v>
      </c>
      <c r="B112">
        <v>81.6</v>
      </c>
      <c r="C112">
        <v>85</v>
      </c>
      <c r="D112">
        <v>60</v>
      </c>
      <c r="E112">
        <v>95</v>
      </c>
      <c r="F112">
        <v>90</v>
      </c>
    </row>
    <row r="113" spans="1:20">
      <c r="A113" t="s">
        <v>45</v>
      </c>
      <c r="B113">
        <v>90</v>
      </c>
      <c r="C113">
        <v>95</v>
      </c>
      <c r="D113">
        <v>65</v>
      </c>
      <c r="E113">
        <v>100</v>
      </c>
      <c r="F113">
        <v>100</v>
      </c>
    </row>
    <row r="114" spans="1:20">
      <c r="A114" t="s">
        <v>47</v>
      </c>
      <c r="B114">
        <v>93.2</v>
      </c>
      <c r="C114">
        <v>95</v>
      </c>
      <c r="D114">
        <v>85</v>
      </c>
      <c r="E114">
        <v>100</v>
      </c>
      <c r="F114">
        <v>90</v>
      </c>
      <c r="K114" t="s">
        <v>7</v>
      </c>
    </row>
    <row r="115" spans="1:20">
      <c r="A115" t="s">
        <v>48</v>
      </c>
      <c r="B115">
        <v>93.2</v>
      </c>
      <c r="C115">
        <v>95</v>
      </c>
      <c r="D115">
        <v>85</v>
      </c>
      <c r="E115">
        <v>100</v>
      </c>
      <c r="F115">
        <v>90</v>
      </c>
      <c r="K115" s="2" t="s">
        <v>10</v>
      </c>
      <c r="L115" s="2" t="s">
        <v>5</v>
      </c>
      <c r="M115" s="2" t="s">
        <v>11</v>
      </c>
      <c r="N115" s="2" t="s">
        <v>12</v>
      </c>
      <c r="O115" s="2" t="s">
        <v>13</v>
      </c>
      <c r="P115" s="2" t="s">
        <v>14</v>
      </c>
      <c r="Q115" t="s">
        <v>15</v>
      </c>
      <c r="R115" t="s">
        <v>16</v>
      </c>
      <c r="S115" t="s">
        <v>17</v>
      </c>
      <c r="T115" t="s">
        <v>18</v>
      </c>
    </row>
    <row r="116" spans="1:20">
      <c r="A116" t="s">
        <v>49</v>
      </c>
      <c r="B116">
        <v>94</v>
      </c>
      <c r="C116">
        <v>95</v>
      </c>
      <c r="D116">
        <v>85</v>
      </c>
      <c r="E116">
        <v>100</v>
      </c>
      <c r="F116">
        <v>100</v>
      </c>
      <c r="K116" t="s">
        <v>20</v>
      </c>
      <c r="L116" s="21">
        <v>40</v>
      </c>
      <c r="M116" s="21">
        <v>75</v>
      </c>
      <c r="N116" s="21">
        <v>85</v>
      </c>
      <c r="O116" s="21">
        <v>90</v>
      </c>
      <c r="P116" s="21">
        <v>70</v>
      </c>
      <c r="Q116">
        <f t="shared" ref="Q116:Q151" si="24">P116-L116</f>
        <v>30</v>
      </c>
      <c r="R116">
        <f t="shared" ref="R116:R151" si="25">ABS(Q116)</f>
        <v>30</v>
      </c>
      <c r="S116">
        <f>IF(Q116=0,"",_xlfn.RANK.AVG(R116,$R$116:$R$151,1))</f>
        <v>15</v>
      </c>
      <c r="T116">
        <f t="shared" ref="T116:T151" si="26">IF(Q116&gt;0,S116,0)</f>
        <v>15</v>
      </c>
    </row>
    <row r="117" spans="1:20">
      <c r="A117" t="s">
        <v>50</v>
      </c>
      <c r="B117">
        <v>92.6</v>
      </c>
      <c r="C117">
        <v>95</v>
      </c>
      <c r="D117">
        <v>85</v>
      </c>
      <c r="E117">
        <v>95</v>
      </c>
      <c r="F117">
        <v>90</v>
      </c>
      <c r="K117" t="s">
        <v>21</v>
      </c>
      <c r="L117" s="21">
        <v>30</v>
      </c>
      <c r="M117" s="21">
        <v>40</v>
      </c>
      <c r="N117" s="21">
        <v>65</v>
      </c>
      <c r="O117" s="21">
        <v>70</v>
      </c>
      <c r="P117" s="21">
        <v>75</v>
      </c>
      <c r="Q117">
        <f t="shared" si="24"/>
        <v>45</v>
      </c>
      <c r="R117">
        <f t="shared" si="25"/>
        <v>45</v>
      </c>
      <c r="S117">
        <f t="shared" ref="S117:S151" si="27">IF(Q117=0,"",_xlfn.RANK.AVG(R117,$R$116:$R$151,1))</f>
        <v>24</v>
      </c>
      <c r="T117">
        <f t="shared" si="26"/>
        <v>24</v>
      </c>
    </row>
    <row r="118" spans="1:20">
      <c r="A118" t="s">
        <v>51</v>
      </c>
      <c r="B118">
        <v>92.6</v>
      </c>
      <c r="C118">
        <v>95</v>
      </c>
      <c r="D118">
        <v>85</v>
      </c>
      <c r="E118">
        <v>95</v>
      </c>
      <c r="F118">
        <v>90</v>
      </c>
      <c r="K118" t="s">
        <v>22</v>
      </c>
      <c r="L118" s="21">
        <v>60</v>
      </c>
      <c r="M118" s="21">
        <v>20</v>
      </c>
      <c r="N118" s="21">
        <v>40</v>
      </c>
      <c r="O118" s="21">
        <v>50</v>
      </c>
      <c r="P118" s="21">
        <v>65</v>
      </c>
      <c r="Q118">
        <f t="shared" si="24"/>
        <v>5</v>
      </c>
      <c r="R118">
        <f t="shared" si="25"/>
        <v>5</v>
      </c>
      <c r="S118">
        <f t="shared" si="27"/>
        <v>3</v>
      </c>
      <c r="T118">
        <f t="shared" si="26"/>
        <v>3</v>
      </c>
    </row>
    <row r="119" spans="1:20">
      <c r="A119" t="s">
        <v>54</v>
      </c>
      <c r="B119">
        <v>92.6</v>
      </c>
      <c r="C119">
        <v>95</v>
      </c>
      <c r="D119">
        <v>85</v>
      </c>
      <c r="E119">
        <v>95</v>
      </c>
      <c r="F119">
        <v>90</v>
      </c>
      <c r="K119" t="s">
        <v>23</v>
      </c>
      <c r="L119" s="21">
        <v>70</v>
      </c>
      <c r="M119" s="21">
        <v>75</v>
      </c>
      <c r="N119" s="21">
        <v>40</v>
      </c>
      <c r="O119" s="21">
        <v>90</v>
      </c>
      <c r="P119" s="21">
        <v>75</v>
      </c>
      <c r="Q119">
        <f t="shared" si="24"/>
        <v>5</v>
      </c>
      <c r="R119">
        <f t="shared" si="25"/>
        <v>5</v>
      </c>
      <c r="S119">
        <f t="shared" si="27"/>
        <v>3</v>
      </c>
      <c r="T119">
        <f t="shared" si="26"/>
        <v>3</v>
      </c>
    </row>
    <row r="120" spans="1:20">
      <c r="A120" t="s">
        <v>52</v>
      </c>
      <c r="B120">
        <v>87.6</v>
      </c>
      <c r="C120">
        <v>95</v>
      </c>
      <c r="D120">
        <v>65</v>
      </c>
      <c r="E120">
        <v>90</v>
      </c>
      <c r="F120">
        <v>85</v>
      </c>
      <c r="K120" t="s">
        <v>24</v>
      </c>
      <c r="L120" s="21">
        <v>40</v>
      </c>
      <c r="M120" s="21">
        <v>75</v>
      </c>
      <c r="N120" s="21">
        <v>85</v>
      </c>
      <c r="O120" s="21">
        <v>75</v>
      </c>
      <c r="P120" s="21">
        <v>75</v>
      </c>
      <c r="Q120">
        <f t="shared" si="24"/>
        <v>35</v>
      </c>
      <c r="R120">
        <f t="shared" si="25"/>
        <v>35</v>
      </c>
      <c r="S120">
        <f t="shared" si="27"/>
        <v>20.5</v>
      </c>
      <c r="T120">
        <f t="shared" si="26"/>
        <v>20.5</v>
      </c>
    </row>
    <row r="121" spans="1:20">
      <c r="A121" t="s">
        <v>53</v>
      </c>
      <c r="B121">
        <v>93.2</v>
      </c>
      <c r="C121">
        <v>95</v>
      </c>
      <c r="D121">
        <v>85</v>
      </c>
      <c r="E121">
        <v>100</v>
      </c>
      <c r="F121">
        <v>90</v>
      </c>
      <c r="K121" t="s">
        <v>25</v>
      </c>
      <c r="L121" s="21">
        <v>40</v>
      </c>
      <c r="M121" s="21">
        <v>65</v>
      </c>
      <c r="N121" s="21">
        <v>75</v>
      </c>
      <c r="O121" s="21">
        <v>85</v>
      </c>
      <c r="P121" s="21">
        <v>90</v>
      </c>
      <c r="Q121">
        <f t="shared" si="24"/>
        <v>50</v>
      </c>
      <c r="R121">
        <f t="shared" si="25"/>
        <v>50</v>
      </c>
      <c r="S121">
        <f t="shared" si="27"/>
        <v>27.5</v>
      </c>
      <c r="T121">
        <f t="shared" si="26"/>
        <v>27.5</v>
      </c>
    </row>
    <row r="122" spans="1:20">
      <c r="A122" t="s">
        <v>55</v>
      </c>
      <c r="B122">
        <v>90</v>
      </c>
      <c r="C122">
        <v>95</v>
      </c>
      <c r="D122">
        <v>65</v>
      </c>
      <c r="E122">
        <v>100</v>
      </c>
      <c r="F122">
        <v>100</v>
      </c>
      <c r="K122" t="s">
        <v>26</v>
      </c>
      <c r="L122" s="21">
        <v>40</v>
      </c>
      <c r="M122" s="21">
        <v>75</v>
      </c>
      <c r="N122" s="21">
        <v>85</v>
      </c>
      <c r="O122" s="21">
        <v>85</v>
      </c>
      <c r="P122" s="21">
        <v>75</v>
      </c>
      <c r="Q122">
        <f t="shared" si="24"/>
        <v>35</v>
      </c>
      <c r="R122">
        <f t="shared" si="25"/>
        <v>35</v>
      </c>
      <c r="S122">
        <f t="shared" si="27"/>
        <v>20.5</v>
      </c>
      <c r="T122">
        <f t="shared" si="26"/>
        <v>20.5</v>
      </c>
    </row>
    <row r="123" spans="1:20">
      <c r="A123" t="s">
        <v>56</v>
      </c>
      <c r="B123" s="12">
        <f>AVERAGE(B87:B122)</f>
        <v>84.85</v>
      </c>
      <c r="C123" s="12">
        <f>AVERAGE(C87:C122)</f>
        <v>86.9444444444444</v>
      </c>
      <c r="D123" s="12">
        <f>AVERAGE(D87:D122)</f>
        <v>70.8333333333333</v>
      </c>
      <c r="E123" s="12">
        <f>AVERAGE(E87:E122)</f>
        <v>95.1388888888889</v>
      </c>
      <c r="F123" s="12">
        <f>AVERAGE(F87:F122)</f>
        <v>88.75</v>
      </c>
      <c r="K123" t="s">
        <v>27</v>
      </c>
      <c r="L123" s="21">
        <v>40</v>
      </c>
      <c r="M123" s="21">
        <v>75</v>
      </c>
      <c r="N123" s="21">
        <v>85</v>
      </c>
      <c r="O123" s="21">
        <v>90</v>
      </c>
      <c r="P123" s="21">
        <v>70</v>
      </c>
      <c r="Q123">
        <f t="shared" si="24"/>
        <v>30</v>
      </c>
      <c r="R123">
        <f t="shared" si="25"/>
        <v>30</v>
      </c>
      <c r="S123">
        <f t="shared" si="27"/>
        <v>15</v>
      </c>
      <c r="T123">
        <f t="shared" si="26"/>
        <v>15</v>
      </c>
    </row>
    <row r="124" spans="1:20">
      <c r="A124" t="s">
        <v>57</v>
      </c>
      <c r="B124" s="12">
        <f>_xlfn.STDEV.S(B87:B122)</f>
        <v>15.3478057994341</v>
      </c>
      <c r="C124" s="12">
        <f>_xlfn.STDEV.S(C87:C122)</f>
        <v>19.9741896949101</v>
      </c>
      <c r="D124" s="12">
        <f>_xlfn.STDEV.S(D87:D122)</f>
        <v>19.838634745653</v>
      </c>
      <c r="E124" s="12">
        <f>_xlfn.STDEV.S(E87:E122)</f>
        <v>4.54911468798539</v>
      </c>
      <c r="F124" s="12">
        <f>_xlfn.STDEV.S(F87:F122)</f>
        <v>6.90496715622684</v>
      </c>
      <c r="K124" t="s">
        <v>28</v>
      </c>
      <c r="L124" s="21">
        <v>40</v>
      </c>
      <c r="M124" s="21">
        <v>85</v>
      </c>
      <c r="N124" s="21">
        <v>70</v>
      </c>
      <c r="O124" s="21">
        <v>80</v>
      </c>
      <c r="P124" s="21">
        <v>70</v>
      </c>
      <c r="Q124">
        <f t="shared" si="24"/>
        <v>30</v>
      </c>
      <c r="R124">
        <f t="shared" si="25"/>
        <v>30</v>
      </c>
      <c r="S124">
        <f t="shared" si="27"/>
        <v>15</v>
      </c>
      <c r="T124">
        <f t="shared" si="26"/>
        <v>15</v>
      </c>
    </row>
    <row r="125" spans="1:20">
      <c r="K125" t="s">
        <v>29</v>
      </c>
      <c r="L125" s="21">
        <v>0</v>
      </c>
      <c r="M125" s="21">
        <v>70</v>
      </c>
      <c r="N125" s="21">
        <v>20</v>
      </c>
      <c r="O125" s="21">
        <v>30</v>
      </c>
      <c r="P125" s="21">
        <v>75</v>
      </c>
      <c r="Q125">
        <f t="shared" si="24"/>
        <v>75</v>
      </c>
      <c r="R125">
        <f t="shared" si="25"/>
        <v>75</v>
      </c>
      <c r="S125">
        <f t="shared" si="27"/>
        <v>36</v>
      </c>
      <c r="T125">
        <f t="shared" si="26"/>
        <v>36</v>
      </c>
    </row>
    <row r="126" spans="1:20">
      <c r="K126" t="s">
        <v>30</v>
      </c>
      <c r="L126" s="21">
        <v>70</v>
      </c>
      <c r="M126" s="21">
        <v>90</v>
      </c>
      <c r="N126" s="21">
        <v>85</v>
      </c>
      <c r="O126" s="21">
        <v>75</v>
      </c>
      <c r="P126" s="21">
        <v>90</v>
      </c>
      <c r="Q126">
        <f t="shared" si="24"/>
        <v>20</v>
      </c>
      <c r="R126">
        <f t="shared" si="25"/>
        <v>20</v>
      </c>
      <c r="S126">
        <f t="shared" si="27"/>
        <v>9</v>
      </c>
      <c r="T126">
        <f t="shared" si="26"/>
        <v>9</v>
      </c>
    </row>
    <row r="127" spans="1:20">
      <c r="A127" s="2" t="s">
        <v>13</v>
      </c>
      <c r="B127" s="2" t="s">
        <v>3</v>
      </c>
      <c r="C127" s="2" t="s">
        <v>6</v>
      </c>
      <c r="D127" s="2" t="s">
        <v>7</v>
      </c>
      <c r="E127" s="2" t="s">
        <v>8</v>
      </c>
      <c r="F127" s="2" t="s">
        <v>9</v>
      </c>
      <c r="K127" t="s">
        <v>31</v>
      </c>
      <c r="L127" s="21">
        <v>30</v>
      </c>
      <c r="M127" s="21">
        <v>70</v>
      </c>
      <c r="N127" s="21">
        <v>85</v>
      </c>
      <c r="O127" s="21">
        <v>85</v>
      </c>
      <c r="P127" s="21">
        <v>75</v>
      </c>
      <c r="Q127">
        <f t="shared" si="24"/>
        <v>45</v>
      </c>
      <c r="R127">
        <f t="shared" si="25"/>
        <v>45</v>
      </c>
      <c r="S127">
        <f t="shared" si="27"/>
        <v>24</v>
      </c>
      <c r="T127">
        <f t="shared" si="26"/>
        <v>24</v>
      </c>
    </row>
    <row r="128" spans="1:20">
      <c r="A128" t="s">
        <v>20</v>
      </c>
      <c r="B128">
        <v>79.4</v>
      </c>
      <c r="C128">
        <v>85</v>
      </c>
      <c r="D128">
        <v>90</v>
      </c>
      <c r="E128">
        <v>60</v>
      </c>
      <c r="F128">
        <v>40</v>
      </c>
      <c r="K128" t="s">
        <v>32</v>
      </c>
      <c r="L128" s="21">
        <v>40</v>
      </c>
      <c r="M128" s="21">
        <v>70</v>
      </c>
      <c r="N128" s="21">
        <v>85</v>
      </c>
      <c r="O128" s="21">
        <v>75</v>
      </c>
      <c r="P128" s="21">
        <v>75</v>
      </c>
      <c r="Q128">
        <f t="shared" si="24"/>
        <v>35</v>
      </c>
      <c r="R128">
        <f t="shared" si="25"/>
        <v>35</v>
      </c>
      <c r="S128">
        <f t="shared" si="27"/>
        <v>20.5</v>
      </c>
      <c r="T128">
        <f t="shared" si="26"/>
        <v>20.5</v>
      </c>
    </row>
    <row r="129" spans="1:20">
      <c r="A129" t="s">
        <v>21</v>
      </c>
      <c r="B129">
        <v>63.6</v>
      </c>
      <c r="C129">
        <v>60</v>
      </c>
      <c r="D129">
        <v>70</v>
      </c>
      <c r="E129">
        <v>100</v>
      </c>
      <c r="F129">
        <v>20</v>
      </c>
      <c r="K129" t="s">
        <v>33</v>
      </c>
      <c r="L129" s="21">
        <v>40</v>
      </c>
      <c r="M129" s="21">
        <v>75</v>
      </c>
      <c r="N129" s="21">
        <v>65</v>
      </c>
      <c r="O129" s="21">
        <v>75</v>
      </c>
      <c r="P129" s="21">
        <v>90</v>
      </c>
      <c r="Q129">
        <f t="shared" si="24"/>
        <v>50</v>
      </c>
      <c r="R129">
        <f t="shared" si="25"/>
        <v>50</v>
      </c>
      <c r="S129">
        <f t="shared" si="27"/>
        <v>27.5</v>
      </c>
      <c r="T129">
        <f t="shared" si="26"/>
        <v>27.5</v>
      </c>
    </row>
    <row r="130" spans="1:20">
      <c r="A130" t="s">
        <v>22</v>
      </c>
      <c r="B130">
        <v>45.2</v>
      </c>
      <c r="C130">
        <v>40</v>
      </c>
      <c r="D130">
        <v>50</v>
      </c>
      <c r="E130">
        <v>80</v>
      </c>
      <c r="F130">
        <v>20</v>
      </c>
      <c r="K130" t="s">
        <v>34</v>
      </c>
      <c r="L130" s="21">
        <v>40</v>
      </c>
      <c r="M130" s="21">
        <v>75</v>
      </c>
      <c r="N130" s="21">
        <v>40</v>
      </c>
      <c r="O130" s="21">
        <v>60</v>
      </c>
      <c r="P130" s="21">
        <v>70</v>
      </c>
      <c r="Q130">
        <f t="shared" si="24"/>
        <v>30</v>
      </c>
      <c r="R130">
        <f t="shared" si="25"/>
        <v>30</v>
      </c>
      <c r="S130">
        <f t="shared" si="27"/>
        <v>15</v>
      </c>
      <c r="T130">
        <f t="shared" si="26"/>
        <v>15</v>
      </c>
    </row>
    <row r="131" spans="1:20">
      <c r="A131" t="s">
        <v>23</v>
      </c>
      <c r="B131">
        <v>82.2</v>
      </c>
      <c r="C131">
        <v>85</v>
      </c>
      <c r="D131">
        <v>90</v>
      </c>
      <c r="E131">
        <v>70</v>
      </c>
      <c r="F131">
        <v>60</v>
      </c>
      <c r="K131" t="s">
        <v>35</v>
      </c>
      <c r="L131" s="21">
        <v>20</v>
      </c>
      <c r="M131" s="21">
        <v>40</v>
      </c>
      <c r="N131" s="21">
        <v>60</v>
      </c>
      <c r="O131" s="21">
        <v>75</v>
      </c>
      <c r="P131" s="21">
        <v>75</v>
      </c>
      <c r="Q131">
        <f t="shared" si="24"/>
        <v>55</v>
      </c>
      <c r="R131">
        <f t="shared" si="25"/>
        <v>55</v>
      </c>
      <c r="S131">
        <f t="shared" si="27"/>
        <v>30.5</v>
      </c>
      <c r="T131">
        <f t="shared" si="26"/>
        <v>30.5</v>
      </c>
    </row>
    <row r="132" spans="1:20">
      <c r="A132" t="s">
        <v>24</v>
      </c>
      <c r="B132">
        <v>72.2</v>
      </c>
      <c r="C132">
        <v>70</v>
      </c>
      <c r="D132">
        <v>75</v>
      </c>
      <c r="E132">
        <v>100</v>
      </c>
      <c r="F132">
        <v>40</v>
      </c>
      <c r="K132" t="s">
        <v>36</v>
      </c>
      <c r="L132" s="21">
        <v>40</v>
      </c>
      <c r="M132" s="21">
        <v>60</v>
      </c>
      <c r="N132" s="21">
        <v>40</v>
      </c>
      <c r="O132" s="21">
        <v>50</v>
      </c>
      <c r="P132" s="21">
        <v>40</v>
      </c>
      <c r="Q132">
        <f t="shared" si="24"/>
        <v>0</v>
      </c>
      <c r="R132">
        <f t="shared" si="25"/>
        <v>0</v>
      </c>
      <c r="S132" t="str">
        <f t="shared" si="27"/>
        <v/>
      </c>
      <c r="T132">
        <f t="shared" si="26"/>
        <v>0</v>
      </c>
    </row>
    <row r="133" spans="1:20">
      <c r="A133" t="s">
        <v>25</v>
      </c>
      <c r="B133">
        <v>74.2</v>
      </c>
      <c r="C133">
        <v>70</v>
      </c>
      <c r="D133">
        <v>85</v>
      </c>
      <c r="E133">
        <v>100</v>
      </c>
      <c r="F133">
        <v>40</v>
      </c>
      <c r="K133" t="s">
        <v>37</v>
      </c>
      <c r="L133" s="21">
        <v>40</v>
      </c>
      <c r="M133" s="21">
        <v>85</v>
      </c>
      <c r="N133" s="21">
        <v>85</v>
      </c>
      <c r="O133" s="21">
        <v>60</v>
      </c>
      <c r="P133" s="21">
        <v>70</v>
      </c>
      <c r="Q133">
        <f t="shared" si="24"/>
        <v>30</v>
      </c>
      <c r="R133">
        <f t="shared" si="25"/>
        <v>30</v>
      </c>
      <c r="S133">
        <f t="shared" si="27"/>
        <v>15</v>
      </c>
      <c r="T133">
        <f t="shared" si="26"/>
        <v>15</v>
      </c>
    </row>
    <row r="134" spans="1:20">
      <c r="A134" t="s">
        <v>26</v>
      </c>
      <c r="B134">
        <v>74.2</v>
      </c>
      <c r="C134">
        <v>70</v>
      </c>
      <c r="D134">
        <v>85</v>
      </c>
      <c r="E134">
        <v>100</v>
      </c>
      <c r="F134">
        <v>40</v>
      </c>
      <c r="K134" t="s">
        <v>38</v>
      </c>
      <c r="L134" s="21">
        <v>70</v>
      </c>
      <c r="M134" s="21">
        <v>90</v>
      </c>
      <c r="N134" s="21">
        <v>90</v>
      </c>
      <c r="O134" s="21">
        <v>85</v>
      </c>
      <c r="P134" s="21">
        <v>90</v>
      </c>
      <c r="Q134">
        <f t="shared" si="24"/>
        <v>20</v>
      </c>
      <c r="R134">
        <f t="shared" si="25"/>
        <v>20</v>
      </c>
      <c r="S134">
        <f t="shared" si="27"/>
        <v>9</v>
      </c>
      <c r="T134">
        <f t="shared" si="26"/>
        <v>9</v>
      </c>
    </row>
    <row r="135" spans="1:20">
      <c r="A135" t="s">
        <v>27</v>
      </c>
      <c r="B135">
        <v>83.4</v>
      </c>
      <c r="C135">
        <v>85</v>
      </c>
      <c r="D135">
        <v>90</v>
      </c>
      <c r="E135">
        <v>80</v>
      </c>
      <c r="F135">
        <v>60</v>
      </c>
      <c r="K135" t="s">
        <v>39</v>
      </c>
      <c r="L135" s="21">
        <v>10</v>
      </c>
      <c r="M135" s="21">
        <v>60</v>
      </c>
      <c r="N135" s="21">
        <v>85</v>
      </c>
      <c r="O135" s="21">
        <v>70</v>
      </c>
      <c r="P135" s="21">
        <v>70</v>
      </c>
      <c r="Q135">
        <f t="shared" si="24"/>
        <v>60</v>
      </c>
      <c r="R135">
        <f t="shared" si="25"/>
        <v>60</v>
      </c>
      <c r="S135">
        <f t="shared" si="27"/>
        <v>32.5</v>
      </c>
      <c r="T135">
        <f t="shared" si="26"/>
        <v>32.5</v>
      </c>
    </row>
    <row r="136" spans="1:20">
      <c r="A136" t="s">
        <v>28</v>
      </c>
      <c r="B136">
        <v>78.2</v>
      </c>
      <c r="C136">
        <v>85</v>
      </c>
      <c r="D136">
        <v>80</v>
      </c>
      <c r="E136">
        <v>60</v>
      </c>
      <c r="F136">
        <v>50</v>
      </c>
      <c r="K136" t="s">
        <v>40</v>
      </c>
      <c r="L136" s="21">
        <v>40</v>
      </c>
      <c r="M136" s="21">
        <v>70</v>
      </c>
      <c r="N136" s="21">
        <v>85</v>
      </c>
      <c r="O136" s="21">
        <v>90</v>
      </c>
      <c r="P136" s="21">
        <v>75</v>
      </c>
      <c r="Q136">
        <f t="shared" si="24"/>
        <v>35</v>
      </c>
      <c r="R136">
        <f t="shared" si="25"/>
        <v>35</v>
      </c>
      <c r="S136">
        <f t="shared" si="27"/>
        <v>20.5</v>
      </c>
      <c r="T136">
        <f t="shared" si="26"/>
        <v>20.5</v>
      </c>
    </row>
    <row r="137" spans="1:20">
      <c r="A137" t="s">
        <v>29</v>
      </c>
      <c r="B137">
        <v>18.8</v>
      </c>
      <c r="C137">
        <v>20</v>
      </c>
      <c r="D137">
        <v>30</v>
      </c>
      <c r="E137">
        <v>0</v>
      </c>
      <c r="F137">
        <v>10</v>
      </c>
      <c r="K137" t="s">
        <v>41</v>
      </c>
      <c r="L137" s="21">
        <v>40</v>
      </c>
      <c r="M137" s="21">
        <v>70</v>
      </c>
      <c r="N137" s="21">
        <v>30</v>
      </c>
      <c r="O137" s="21">
        <v>30</v>
      </c>
      <c r="P137" s="21">
        <v>30</v>
      </c>
      <c r="Q137">
        <f t="shared" si="24"/>
        <v>-10</v>
      </c>
      <c r="R137">
        <f t="shared" si="25"/>
        <v>10</v>
      </c>
      <c r="S137">
        <f t="shared" si="27"/>
        <v>6</v>
      </c>
      <c r="T137">
        <f t="shared" si="26"/>
        <v>0</v>
      </c>
    </row>
    <row r="138" spans="1:20">
      <c r="A138" t="s">
        <v>30</v>
      </c>
      <c r="B138">
        <v>72.2</v>
      </c>
      <c r="C138">
        <v>70</v>
      </c>
      <c r="D138">
        <v>75</v>
      </c>
      <c r="E138">
        <v>100</v>
      </c>
      <c r="F138">
        <v>40</v>
      </c>
      <c r="K138" t="s">
        <v>42</v>
      </c>
      <c r="L138" s="21">
        <v>40</v>
      </c>
      <c r="M138" s="21">
        <v>70</v>
      </c>
      <c r="N138" s="21">
        <v>90</v>
      </c>
      <c r="O138" s="21">
        <v>85</v>
      </c>
      <c r="P138" s="21">
        <v>70</v>
      </c>
      <c r="Q138">
        <f t="shared" si="24"/>
        <v>30</v>
      </c>
      <c r="R138">
        <f t="shared" si="25"/>
        <v>30</v>
      </c>
      <c r="S138">
        <f t="shared" si="27"/>
        <v>15</v>
      </c>
      <c r="T138">
        <f t="shared" si="26"/>
        <v>15</v>
      </c>
    </row>
    <row r="139" spans="1:20">
      <c r="A139" t="s">
        <v>31</v>
      </c>
      <c r="B139">
        <v>88</v>
      </c>
      <c r="C139">
        <v>90</v>
      </c>
      <c r="D139">
        <v>85</v>
      </c>
      <c r="E139">
        <v>95</v>
      </c>
      <c r="F139">
        <v>70</v>
      </c>
      <c r="K139" t="s">
        <v>43</v>
      </c>
      <c r="L139" s="21">
        <v>30</v>
      </c>
      <c r="M139" s="21">
        <v>15</v>
      </c>
      <c r="N139" s="21">
        <v>40</v>
      </c>
      <c r="O139" s="21">
        <v>70</v>
      </c>
      <c r="P139" s="21">
        <v>75</v>
      </c>
      <c r="Q139">
        <f t="shared" si="24"/>
        <v>45</v>
      </c>
      <c r="R139">
        <f t="shared" si="25"/>
        <v>45</v>
      </c>
      <c r="S139">
        <f t="shared" si="27"/>
        <v>24</v>
      </c>
      <c r="T139">
        <f t="shared" si="26"/>
        <v>24</v>
      </c>
    </row>
    <row r="140" spans="1:20">
      <c r="A140" t="s">
        <v>32</v>
      </c>
      <c r="B140">
        <v>85.8</v>
      </c>
      <c r="C140">
        <v>90</v>
      </c>
      <c r="D140">
        <v>75</v>
      </c>
      <c r="E140">
        <v>100</v>
      </c>
      <c r="F140">
        <v>60</v>
      </c>
      <c r="K140" t="s">
        <v>44</v>
      </c>
      <c r="L140" s="21">
        <v>65</v>
      </c>
      <c r="M140" s="21">
        <v>90</v>
      </c>
      <c r="N140" s="21">
        <v>85</v>
      </c>
      <c r="O140" s="21">
        <v>75</v>
      </c>
      <c r="P140" s="21">
        <v>75</v>
      </c>
      <c r="Q140">
        <f t="shared" si="24"/>
        <v>10</v>
      </c>
      <c r="R140">
        <f t="shared" si="25"/>
        <v>10</v>
      </c>
      <c r="S140">
        <f t="shared" si="27"/>
        <v>6</v>
      </c>
      <c r="T140">
        <f t="shared" si="26"/>
        <v>6</v>
      </c>
    </row>
    <row r="141" spans="1:20">
      <c r="A141" t="s">
        <v>33</v>
      </c>
      <c r="B141">
        <v>67.4</v>
      </c>
      <c r="C141">
        <v>70</v>
      </c>
      <c r="D141">
        <v>75</v>
      </c>
      <c r="E141">
        <v>60</v>
      </c>
      <c r="F141">
        <v>40</v>
      </c>
      <c r="K141" t="s">
        <v>46</v>
      </c>
      <c r="L141" s="21">
        <v>0</v>
      </c>
      <c r="M141" s="21">
        <v>15</v>
      </c>
      <c r="N141" s="21">
        <v>60</v>
      </c>
      <c r="O141" s="21">
        <v>60</v>
      </c>
      <c r="P141" s="21">
        <v>70</v>
      </c>
      <c r="Q141">
        <f t="shared" si="24"/>
        <v>70</v>
      </c>
      <c r="R141">
        <f t="shared" si="25"/>
        <v>70</v>
      </c>
      <c r="S141">
        <f t="shared" si="27"/>
        <v>34.5</v>
      </c>
      <c r="T141">
        <f t="shared" si="26"/>
        <v>34.5</v>
      </c>
    </row>
    <row r="142" spans="1:20">
      <c r="A142" t="s">
        <v>34</v>
      </c>
      <c r="B142">
        <v>69.2</v>
      </c>
      <c r="C142">
        <v>70</v>
      </c>
      <c r="D142">
        <v>60</v>
      </c>
      <c r="E142">
        <v>100</v>
      </c>
      <c r="F142">
        <v>40</v>
      </c>
      <c r="K142" t="s">
        <v>45</v>
      </c>
      <c r="L142" s="21">
        <v>20</v>
      </c>
      <c r="M142" s="21">
        <v>40</v>
      </c>
      <c r="N142" s="21">
        <v>65</v>
      </c>
      <c r="O142" s="21">
        <v>40</v>
      </c>
      <c r="P142" s="21">
        <v>70</v>
      </c>
      <c r="Q142">
        <f t="shared" si="24"/>
        <v>50</v>
      </c>
      <c r="R142">
        <f t="shared" si="25"/>
        <v>50</v>
      </c>
      <c r="S142">
        <f t="shared" si="27"/>
        <v>27.5</v>
      </c>
      <c r="T142">
        <f t="shared" si="26"/>
        <v>27.5</v>
      </c>
    </row>
    <row r="143" spans="1:20">
      <c r="A143" t="s">
        <v>35</v>
      </c>
      <c r="B143">
        <v>67.4</v>
      </c>
      <c r="C143">
        <v>70</v>
      </c>
      <c r="D143">
        <v>75</v>
      </c>
      <c r="E143">
        <v>60</v>
      </c>
      <c r="F143">
        <v>40</v>
      </c>
      <c r="K143" t="s">
        <v>47</v>
      </c>
      <c r="L143" s="21">
        <v>20</v>
      </c>
      <c r="M143" s="21">
        <v>40</v>
      </c>
      <c r="N143" s="21">
        <v>85</v>
      </c>
      <c r="O143" s="21">
        <v>70</v>
      </c>
      <c r="P143" s="21">
        <v>75</v>
      </c>
      <c r="Q143">
        <f t="shared" si="24"/>
        <v>55</v>
      </c>
      <c r="R143">
        <f t="shared" si="25"/>
        <v>55</v>
      </c>
      <c r="S143">
        <f t="shared" si="27"/>
        <v>30.5</v>
      </c>
      <c r="T143">
        <f t="shared" si="26"/>
        <v>30.5</v>
      </c>
    </row>
    <row r="144" spans="1:20">
      <c r="A144" t="s">
        <v>36</v>
      </c>
      <c r="B144">
        <v>45.2</v>
      </c>
      <c r="C144">
        <v>40</v>
      </c>
      <c r="D144">
        <v>50</v>
      </c>
      <c r="E144">
        <v>80</v>
      </c>
      <c r="F144">
        <v>20</v>
      </c>
      <c r="K144" t="s">
        <v>48</v>
      </c>
      <c r="L144" s="21">
        <v>40</v>
      </c>
      <c r="M144" s="21">
        <v>75</v>
      </c>
      <c r="N144" s="21">
        <v>85</v>
      </c>
      <c r="O144" s="21">
        <v>60</v>
      </c>
      <c r="P144" s="21">
        <v>65</v>
      </c>
      <c r="Q144">
        <f t="shared" si="24"/>
        <v>25</v>
      </c>
      <c r="R144">
        <f t="shared" si="25"/>
        <v>25</v>
      </c>
      <c r="S144">
        <f t="shared" si="27"/>
        <v>11</v>
      </c>
      <c r="T144">
        <f t="shared" si="26"/>
        <v>11</v>
      </c>
    </row>
    <row r="145" spans="1:20">
      <c r="A145" t="s">
        <v>37</v>
      </c>
      <c r="B145">
        <v>69.2</v>
      </c>
      <c r="C145">
        <v>70</v>
      </c>
      <c r="D145">
        <v>60</v>
      </c>
      <c r="E145">
        <v>100</v>
      </c>
      <c r="F145">
        <v>40</v>
      </c>
      <c r="K145" t="s">
        <v>49</v>
      </c>
      <c r="L145" s="21">
        <v>40</v>
      </c>
      <c r="M145" s="21">
        <v>75</v>
      </c>
      <c r="N145" s="21">
        <v>85</v>
      </c>
      <c r="O145" s="21">
        <v>60</v>
      </c>
      <c r="P145" s="21">
        <v>90</v>
      </c>
      <c r="Q145">
        <f t="shared" si="24"/>
        <v>50</v>
      </c>
      <c r="R145">
        <f t="shared" si="25"/>
        <v>50</v>
      </c>
      <c r="S145">
        <f t="shared" si="27"/>
        <v>27.5</v>
      </c>
      <c r="T145">
        <f t="shared" si="26"/>
        <v>27.5</v>
      </c>
    </row>
    <row r="146" spans="1:20">
      <c r="A146" t="s">
        <v>38</v>
      </c>
      <c r="B146">
        <v>74.2</v>
      </c>
      <c r="C146">
        <v>70</v>
      </c>
      <c r="D146">
        <v>85</v>
      </c>
      <c r="E146">
        <v>100</v>
      </c>
      <c r="F146">
        <v>40</v>
      </c>
      <c r="K146" t="s">
        <v>50</v>
      </c>
      <c r="L146" s="21">
        <v>65</v>
      </c>
      <c r="M146" s="21">
        <v>85</v>
      </c>
      <c r="N146" s="21">
        <v>85</v>
      </c>
      <c r="O146" s="21">
        <v>70</v>
      </c>
      <c r="P146" s="21">
        <v>75</v>
      </c>
      <c r="Q146">
        <f t="shared" si="24"/>
        <v>10</v>
      </c>
      <c r="R146">
        <f t="shared" si="25"/>
        <v>10</v>
      </c>
      <c r="S146">
        <f t="shared" si="27"/>
        <v>6</v>
      </c>
      <c r="T146">
        <f t="shared" si="26"/>
        <v>6</v>
      </c>
    </row>
    <row r="147" spans="1:20">
      <c r="A147" t="s">
        <v>39</v>
      </c>
      <c r="B147">
        <v>81.2</v>
      </c>
      <c r="C147">
        <v>85</v>
      </c>
      <c r="D147">
        <v>70</v>
      </c>
      <c r="E147">
        <v>95</v>
      </c>
      <c r="F147">
        <v>60</v>
      </c>
      <c r="K147" t="s">
        <v>51</v>
      </c>
      <c r="L147" s="21">
        <v>70</v>
      </c>
      <c r="M147" s="21">
        <v>70</v>
      </c>
      <c r="N147" s="21">
        <v>85</v>
      </c>
      <c r="O147" s="21">
        <v>70</v>
      </c>
      <c r="P147" s="21">
        <v>75</v>
      </c>
      <c r="Q147">
        <f t="shared" si="24"/>
        <v>5</v>
      </c>
      <c r="R147">
        <f t="shared" si="25"/>
        <v>5</v>
      </c>
      <c r="S147">
        <f t="shared" si="27"/>
        <v>3</v>
      </c>
      <c r="T147">
        <f t="shared" si="26"/>
        <v>3</v>
      </c>
    </row>
    <row r="148" spans="1:20">
      <c r="A148" t="s">
        <v>40</v>
      </c>
      <c r="B148">
        <v>80.6</v>
      </c>
      <c r="C148">
        <v>85</v>
      </c>
      <c r="D148">
        <v>90</v>
      </c>
      <c r="E148">
        <v>70</v>
      </c>
      <c r="F148">
        <v>40</v>
      </c>
      <c r="K148" t="s">
        <v>54</v>
      </c>
      <c r="L148" s="21">
        <v>0</v>
      </c>
      <c r="M148" s="21">
        <v>40</v>
      </c>
      <c r="N148" s="21">
        <v>85</v>
      </c>
      <c r="O148" s="21">
        <v>60</v>
      </c>
      <c r="P148" s="21">
        <v>70</v>
      </c>
      <c r="Q148">
        <f t="shared" si="24"/>
        <v>70</v>
      </c>
      <c r="R148">
        <f t="shared" si="25"/>
        <v>70</v>
      </c>
      <c r="S148">
        <f t="shared" si="27"/>
        <v>34.5</v>
      </c>
      <c r="T148">
        <f t="shared" si="26"/>
        <v>34.5</v>
      </c>
    </row>
    <row r="149" spans="1:20">
      <c r="A149" t="s">
        <v>41</v>
      </c>
      <c r="B149">
        <v>40.4</v>
      </c>
      <c r="C149">
        <v>40</v>
      </c>
      <c r="D149">
        <v>30</v>
      </c>
      <c r="E149">
        <v>80</v>
      </c>
      <c r="F149">
        <v>10</v>
      </c>
      <c r="K149" t="s">
        <v>52</v>
      </c>
      <c r="L149" s="21">
        <v>15</v>
      </c>
      <c r="M149" s="21">
        <v>60</v>
      </c>
      <c r="N149" s="21">
        <v>65</v>
      </c>
      <c r="O149" s="21">
        <v>60</v>
      </c>
      <c r="P149" s="21">
        <v>75</v>
      </c>
      <c r="Q149">
        <f t="shared" si="24"/>
        <v>60</v>
      </c>
      <c r="R149">
        <f t="shared" si="25"/>
        <v>60</v>
      </c>
      <c r="S149">
        <f t="shared" si="27"/>
        <v>32.5</v>
      </c>
      <c r="T149">
        <f t="shared" si="26"/>
        <v>32.5</v>
      </c>
    </row>
    <row r="150" spans="1:20">
      <c r="A150" t="s">
        <v>42</v>
      </c>
      <c r="B150">
        <v>75.4</v>
      </c>
      <c r="C150">
        <v>80</v>
      </c>
      <c r="D150">
        <v>85</v>
      </c>
      <c r="E150">
        <v>60</v>
      </c>
      <c r="F150">
        <v>40</v>
      </c>
      <c r="K150" t="s">
        <v>53</v>
      </c>
      <c r="L150" s="21">
        <v>70</v>
      </c>
      <c r="M150" s="21">
        <v>75</v>
      </c>
      <c r="N150" s="21">
        <v>85</v>
      </c>
      <c r="O150" s="21">
        <v>70</v>
      </c>
      <c r="P150" s="21">
        <v>90</v>
      </c>
      <c r="Q150">
        <f t="shared" si="24"/>
        <v>20</v>
      </c>
      <c r="R150">
        <f t="shared" si="25"/>
        <v>20</v>
      </c>
      <c r="S150">
        <f t="shared" si="27"/>
        <v>9</v>
      </c>
      <c r="T150">
        <f t="shared" si="26"/>
        <v>9</v>
      </c>
    </row>
    <row r="151" spans="1:20">
      <c r="A151" t="s">
        <v>43</v>
      </c>
      <c r="B151">
        <v>76.2</v>
      </c>
      <c r="C151">
        <v>85</v>
      </c>
      <c r="D151">
        <v>70</v>
      </c>
      <c r="E151">
        <v>60</v>
      </c>
      <c r="F151">
        <v>50</v>
      </c>
      <c r="K151" t="s">
        <v>55</v>
      </c>
      <c r="L151" s="21">
        <v>40</v>
      </c>
      <c r="M151" s="21">
        <v>70</v>
      </c>
      <c r="N151" s="21">
        <v>65</v>
      </c>
      <c r="O151" s="21">
        <v>60</v>
      </c>
      <c r="P151" s="21">
        <v>70</v>
      </c>
      <c r="Q151">
        <f t="shared" si="24"/>
        <v>30</v>
      </c>
      <c r="R151">
        <f t="shared" si="25"/>
        <v>30</v>
      </c>
      <c r="S151">
        <f t="shared" si="27"/>
        <v>15</v>
      </c>
      <c r="T151">
        <f t="shared" si="26"/>
        <v>15</v>
      </c>
    </row>
    <row r="152" spans="1:20">
      <c r="A152" t="s">
        <v>44</v>
      </c>
      <c r="B152">
        <v>76.4</v>
      </c>
      <c r="C152">
        <v>85</v>
      </c>
      <c r="D152">
        <v>75</v>
      </c>
      <c r="E152">
        <v>60</v>
      </c>
      <c r="F152">
        <v>40</v>
      </c>
      <c r="K152" t="s">
        <v>56</v>
      </c>
      <c r="L152" s="16">
        <f t="shared" ref="L152:P152" si="28">AVERAGE(L116:L151)</f>
        <v>38.75</v>
      </c>
      <c r="M152" s="16">
        <f t="shared" si="28"/>
        <v>64.7222222222222</v>
      </c>
      <c r="N152" s="16">
        <f t="shared" si="28"/>
        <v>70.8333333333333</v>
      </c>
      <c r="O152" s="16">
        <f t="shared" si="28"/>
        <v>69.0277777777778</v>
      </c>
      <c r="P152" s="16">
        <f t="shared" si="28"/>
        <v>73.1944444444444</v>
      </c>
      <c r="T152">
        <f>SUM(T116:T151)</f>
        <v>659</v>
      </c>
    </row>
    <row r="153" spans="1:20">
      <c r="A153" t="s">
        <v>46</v>
      </c>
      <c r="B153">
        <v>69.2</v>
      </c>
      <c r="C153">
        <v>70</v>
      </c>
      <c r="D153">
        <v>60</v>
      </c>
      <c r="E153">
        <v>100</v>
      </c>
      <c r="F153">
        <v>40</v>
      </c>
      <c r="K153" t="s">
        <v>57</v>
      </c>
      <c r="L153" s="16">
        <f t="shared" ref="L153:P153" si="29">_xlfn.STDEV.S(L116:L151)</f>
        <v>19.9418798368803</v>
      </c>
      <c r="M153" s="16">
        <f t="shared" si="29"/>
        <v>20.3520600727875</v>
      </c>
      <c r="N153" s="16">
        <f t="shared" si="29"/>
        <v>19.838634745653</v>
      </c>
      <c r="O153" s="16">
        <f t="shared" si="29"/>
        <v>15.7125720566342</v>
      </c>
      <c r="P153" s="16">
        <f t="shared" si="29"/>
        <v>11.9015471850019</v>
      </c>
    </row>
    <row r="154" spans="1:20">
      <c r="A154" t="s">
        <v>45</v>
      </c>
      <c r="B154">
        <v>57.6</v>
      </c>
      <c r="C154">
        <v>60</v>
      </c>
      <c r="D154">
        <v>40</v>
      </c>
      <c r="E154">
        <v>100</v>
      </c>
      <c r="F154">
        <v>20</v>
      </c>
      <c r="K154" t="s">
        <v>58</v>
      </c>
      <c r="L154" s="48">
        <f t="shared" ref="L154:P154" si="30">_xlfn.STDEV.S(L116:L151)/AVERAGE(L116:L151)</f>
        <v>0.514629157080781</v>
      </c>
      <c r="M154" s="48">
        <f t="shared" si="30"/>
        <v>0.314452430309162</v>
      </c>
      <c r="N154" s="48">
        <f t="shared" si="30"/>
        <v>0.280074843468042</v>
      </c>
      <c r="O154" s="48">
        <f t="shared" si="30"/>
        <v>0.227626798405968</v>
      </c>
      <c r="P154" s="48">
        <f t="shared" si="30"/>
        <v>0.162601783172701</v>
      </c>
      <c r="Q154" s="10"/>
    </row>
    <row r="155" spans="1:20">
      <c r="A155" t="s">
        <v>47</v>
      </c>
      <c r="B155">
        <v>72.4</v>
      </c>
      <c r="C155">
        <v>80</v>
      </c>
      <c r="D155">
        <v>70</v>
      </c>
      <c r="E155">
        <v>60</v>
      </c>
      <c r="F155">
        <v>40</v>
      </c>
      <c r="K155" t="s">
        <v>59</v>
      </c>
      <c r="L155" s="10">
        <f>P152-L152</f>
        <v>34.4444444444444</v>
      </c>
      <c r="M155" s="10"/>
      <c r="N155" s="10"/>
      <c r="O155" s="10"/>
      <c r="P155" s="10"/>
      <c r="Q155" s="10"/>
    </row>
    <row r="156" spans="1:20">
      <c r="A156" t="s">
        <v>48</v>
      </c>
      <c r="B156">
        <v>69.2</v>
      </c>
      <c r="C156">
        <v>70</v>
      </c>
      <c r="D156">
        <v>60</v>
      </c>
      <c r="E156">
        <v>100</v>
      </c>
      <c r="F156">
        <v>40</v>
      </c>
      <c r="K156" t="s">
        <v>60</v>
      </c>
      <c r="L156" s="10">
        <f>AVERAGE(Q116:Q151)/(_xlfn.STDEV.S(Q116:Q151)/SQRT(COUNT(Q116:Q151)))</f>
        <v>9.84003030856875</v>
      </c>
      <c r="M156" s="10"/>
      <c r="N156" s="10"/>
      <c r="O156" s="10"/>
      <c r="P156" s="10"/>
      <c r="Q156" s="10"/>
    </row>
    <row r="157" spans="1:20">
      <c r="A157" t="s">
        <v>49</v>
      </c>
      <c r="B157">
        <v>49.6</v>
      </c>
      <c r="C157">
        <v>40</v>
      </c>
      <c r="D157">
        <v>60</v>
      </c>
      <c r="E157">
        <v>100</v>
      </c>
      <c r="F157">
        <v>20</v>
      </c>
      <c r="K157" t="s">
        <v>61</v>
      </c>
      <c r="L157" s="49" cm="1">
        <f t="array" ref="L157">TTEST(L116:L151,P116:P151,2,1)</f>
        <v>1.29068385098047e-11</v>
      </c>
      <c r="M157" s="10"/>
      <c r="N157" s="10"/>
      <c r="O157" s="10"/>
      <c r="P157" s="10"/>
      <c r="Q157" s="10"/>
    </row>
    <row r="158" spans="1:20">
      <c r="A158" t="s">
        <v>50</v>
      </c>
      <c r="B158">
        <v>81.2</v>
      </c>
      <c r="C158">
        <v>85</v>
      </c>
      <c r="D158">
        <v>70</v>
      </c>
      <c r="E158">
        <v>95</v>
      </c>
      <c r="F158">
        <v>60</v>
      </c>
      <c r="K158" t="s">
        <v>62</v>
      </c>
      <c r="L158" s="24">
        <f>AVERAGE(Q116:Q151)/_xlfn.STDEV.S(Q116:Q151)</f>
        <v>1.64000505142813</v>
      </c>
      <c r="M158" s="10"/>
      <c r="N158" s="10"/>
      <c r="O158" s="10"/>
      <c r="P158" s="10"/>
      <c r="Q158" s="10"/>
    </row>
    <row r="159" spans="1:20">
      <c r="A159" t="s">
        <v>51</v>
      </c>
      <c r="B159">
        <v>81.2</v>
      </c>
      <c r="C159">
        <v>85</v>
      </c>
      <c r="D159">
        <v>70</v>
      </c>
      <c r="E159">
        <v>95</v>
      </c>
      <c r="F159">
        <v>60</v>
      </c>
      <c r="K159" t="s">
        <v>63</v>
      </c>
      <c r="L159">
        <f>COUNT(Q116:Q151)</f>
        <v>36</v>
      </c>
      <c r="M159" s="10"/>
      <c r="N159" s="10"/>
      <c r="O159" s="10"/>
      <c r="P159" s="10"/>
      <c r="Q159" s="10"/>
    </row>
    <row r="160" spans="1:20">
      <c r="A160" t="s">
        <v>54</v>
      </c>
      <c r="B160">
        <v>62.4</v>
      </c>
      <c r="C160">
        <v>70</v>
      </c>
      <c r="D160">
        <v>60</v>
      </c>
      <c r="E160">
        <v>50</v>
      </c>
      <c r="F160">
        <v>30</v>
      </c>
      <c r="K160" t="s">
        <v>64</v>
      </c>
      <c r="L160">
        <f>TINV(0.05,L159-1)</f>
        <v>2.03010792825034</v>
      </c>
      <c r="M160" s="10"/>
      <c r="N160" s="10"/>
      <c r="O160" s="10"/>
      <c r="P160" s="10"/>
      <c r="Q160" s="10"/>
    </row>
    <row r="161" spans="1:20">
      <c r="A161" t="s">
        <v>52</v>
      </c>
      <c r="B161">
        <v>49.6</v>
      </c>
      <c r="C161">
        <v>40</v>
      </c>
      <c r="D161">
        <v>60</v>
      </c>
      <c r="E161">
        <v>100</v>
      </c>
      <c r="F161">
        <v>20</v>
      </c>
      <c r="K161" t="s">
        <v>65</v>
      </c>
      <c r="L161" s="50">
        <f>SQRT(1/L159+L158^2/(2*(L159-1)))</f>
        <v>0.257295300416639</v>
      </c>
      <c r="M161" s="10"/>
      <c r="N161" s="10"/>
      <c r="O161" s="10"/>
      <c r="P161" s="10"/>
      <c r="Q161" s="10"/>
    </row>
    <row r="162" spans="1:20">
      <c r="A162" t="s">
        <v>53</v>
      </c>
      <c r="B162">
        <v>81.2</v>
      </c>
      <c r="C162">
        <v>85</v>
      </c>
      <c r="D162">
        <v>70</v>
      </c>
      <c r="E162">
        <v>95</v>
      </c>
      <c r="F162">
        <v>60</v>
      </c>
      <c r="K162" t="s">
        <v>66</v>
      </c>
      <c r="L162" s="50">
        <f>L158-L160*L161</f>
        <v>1.11766782215075</v>
      </c>
      <c r="M162" s="10"/>
      <c r="N162" s="10"/>
      <c r="O162" s="10"/>
      <c r="P162" s="10"/>
      <c r="Q162" s="10"/>
    </row>
    <row r="163" spans="1:20">
      <c r="A163" t="s">
        <v>55</v>
      </c>
      <c r="B163">
        <v>69.2</v>
      </c>
      <c r="C163">
        <v>70</v>
      </c>
      <c r="D163">
        <v>60</v>
      </c>
      <c r="E163">
        <v>100</v>
      </c>
      <c r="F163">
        <v>40</v>
      </c>
      <c r="K163" t="s">
        <v>67</v>
      </c>
      <c r="L163" s="50">
        <f>L158+L161*L160</f>
        <v>2.1623422807055</v>
      </c>
      <c r="M163" s="10"/>
      <c r="N163" s="10"/>
      <c r="O163" s="10"/>
      <c r="P163" s="10"/>
      <c r="Q163" s="10"/>
    </row>
    <row r="164" spans="1:20">
      <c r="A164" t="s">
        <v>56</v>
      </c>
      <c r="B164" s="12">
        <f>AVERAGE(B128:B163)</f>
        <v>68.9722222222222</v>
      </c>
      <c r="C164" s="12">
        <f>AVERAGE(C128:C163)</f>
        <v>70.1388888888889</v>
      </c>
      <c r="D164" s="12">
        <f>AVERAGE(D128:D163)</f>
        <v>69.0277777777778</v>
      </c>
      <c r="E164" s="12">
        <f>AVERAGE(E128:E163)</f>
        <v>82.3611111111111</v>
      </c>
      <c r="F164" s="12">
        <f>AVERAGE(F128:F163)</f>
        <v>40</v>
      </c>
      <c r="K164" t="s">
        <v>68</v>
      </c>
      <c r="L164" s="10">
        <f>MIN(T152:U152)</f>
        <v>659</v>
      </c>
      <c r="M164" s="10"/>
      <c r="N164" s="10"/>
      <c r="O164" s="10"/>
      <c r="P164" s="10"/>
      <c r="Q164" s="10"/>
    </row>
    <row r="165" spans="1:20">
      <c r="A165" t="s">
        <v>57</v>
      </c>
      <c r="B165" s="12">
        <f>_xlfn.STDEV.S(B128:B163)</f>
        <v>14.7743525091116</v>
      </c>
      <c r="C165" s="12">
        <f>_xlfn.STDEV.S(C128:C163)</f>
        <v>17.4636811334311</v>
      </c>
      <c r="D165" s="12">
        <f>_xlfn.STDEV.S(D128:D163)</f>
        <v>15.7125720566342</v>
      </c>
      <c r="E165" s="12">
        <f>_xlfn.STDEV.S(E128:E163)</f>
        <v>22.4399551537339</v>
      </c>
      <c r="F165" s="12">
        <f>_xlfn.STDEV.S(F128:F163)</f>
        <v>15.3063945554044</v>
      </c>
      <c r="K165" t="s">
        <v>69</v>
      </c>
      <c r="L165" s="50"/>
      <c r="M165" s="51" t="s">
        <v>70</v>
      </c>
      <c r="N165" s="10"/>
      <c r="O165" s="10"/>
      <c r="P165" s="10"/>
      <c r="Q165" s="10"/>
    </row>
    <row r="166" spans="1:20">
      <c r="A166" t="s">
        <v>72</v>
      </c>
      <c r="K166" t="s">
        <v>71</v>
      </c>
      <c r="L166" s="50"/>
      <c r="M166" s="51"/>
    </row>
    <row r="168" spans="1:20">
      <c r="A168" s="2" t="s">
        <v>14</v>
      </c>
      <c r="B168" s="2" t="s">
        <v>3</v>
      </c>
      <c r="C168" s="2" t="s">
        <v>6</v>
      </c>
      <c r="D168" s="2" t="s">
        <v>7</v>
      </c>
      <c r="E168" s="2" t="s">
        <v>8</v>
      </c>
      <c r="F168" s="2" t="s">
        <v>9</v>
      </c>
    </row>
    <row r="169" spans="1:20">
      <c r="A169" t="s">
        <v>20</v>
      </c>
      <c r="B169">
        <v>80.6</v>
      </c>
      <c r="C169">
        <v>85</v>
      </c>
      <c r="D169">
        <v>70</v>
      </c>
      <c r="E169">
        <v>90</v>
      </c>
      <c r="F169">
        <v>60</v>
      </c>
    </row>
    <row r="170" spans="1:20">
      <c r="A170" t="s">
        <v>21</v>
      </c>
      <c r="B170">
        <v>82.2</v>
      </c>
      <c r="C170">
        <v>85</v>
      </c>
      <c r="D170">
        <v>75</v>
      </c>
      <c r="E170">
        <v>95</v>
      </c>
      <c r="F170">
        <v>60</v>
      </c>
    </row>
    <row r="171" spans="1:20">
      <c r="A171" t="s">
        <v>22</v>
      </c>
      <c r="B171">
        <v>72</v>
      </c>
      <c r="C171">
        <v>75</v>
      </c>
      <c r="D171">
        <v>65</v>
      </c>
      <c r="E171">
        <v>90</v>
      </c>
      <c r="F171">
        <v>40</v>
      </c>
    </row>
    <row r="172" spans="1:20">
      <c r="A172" t="s">
        <v>23</v>
      </c>
      <c r="B172">
        <v>82.4</v>
      </c>
      <c r="C172">
        <v>85</v>
      </c>
      <c r="D172">
        <v>75</v>
      </c>
      <c r="E172">
        <v>90</v>
      </c>
      <c r="F172">
        <v>70</v>
      </c>
      <c r="K172" t="s">
        <v>8</v>
      </c>
    </row>
    <row r="173" spans="1:20">
      <c r="A173" t="s">
        <v>24</v>
      </c>
      <c r="B173">
        <v>81.6</v>
      </c>
      <c r="C173">
        <v>85</v>
      </c>
      <c r="D173">
        <v>75</v>
      </c>
      <c r="E173">
        <v>90</v>
      </c>
      <c r="F173">
        <v>60</v>
      </c>
      <c r="K173" s="2" t="s">
        <v>10</v>
      </c>
      <c r="L173" s="2" t="s">
        <v>5</v>
      </c>
      <c r="M173" s="2" t="s">
        <v>11</v>
      </c>
      <c r="N173" s="2" t="s">
        <v>12</v>
      </c>
      <c r="O173" s="2" t="s">
        <v>13</v>
      </c>
      <c r="P173" s="2" t="s">
        <v>14</v>
      </c>
      <c r="Q173" t="s">
        <v>15</v>
      </c>
      <c r="R173" t="s">
        <v>16</v>
      </c>
      <c r="S173" t="s">
        <v>17</v>
      </c>
      <c r="T173" t="s">
        <v>18</v>
      </c>
    </row>
    <row r="174" spans="1:20">
      <c r="A174" t="s">
        <v>25</v>
      </c>
      <c r="B174">
        <v>86</v>
      </c>
      <c r="C174">
        <v>85</v>
      </c>
      <c r="D174">
        <v>90</v>
      </c>
      <c r="E174">
        <v>95</v>
      </c>
      <c r="F174">
        <v>70</v>
      </c>
      <c r="K174" t="s">
        <v>20</v>
      </c>
      <c r="L174" s="21">
        <v>90</v>
      </c>
      <c r="M174" s="21">
        <v>70</v>
      </c>
      <c r="N174" s="21">
        <v>90</v>
      </c>
      <c r="O174" s="21">
        <v>60</v>
      </c>
      <c r="P174" s="21">
        <v>90</v>
      </c>
      <c r="Q174">
        <f t="shared" ref="Q174:Q209" si="31">P174-L174</f>
        <v>0</v>
      </c>
      <c r="R174">
        <f t="shared" ref="R174:R209" si="32">ABS(Q174)</f>
        <v>0</v>
      </c>
      <c r="S174" t="str">
        <f>IF(Q174=0,"",_xlfn.RANK.AVG(R174,$R$174:$R$209,1))</f>
        <v/>
      </c>
      <c r="T174">
        <f t="shared" ref="T174:T209" si="33">IF(Q174&gt;0,S174,0)</f>
        <v>0</v>
      </c>
    </row>
    <row r="175" spans="1:20">
      <c r="A175" t="s">
        <v>26</v>
      </c>
      <c r="B175">
        <v>81.6</v>
      </c>
      <c r="C175">
        <v>85</v>
      </c>
      <c r="D175">
        <v>75</v>
      </c>
      <c r="E175">
        <v>90</v>
      </c>
      <c r="F175">
        <v>60</v>
      </c>
      <c r="K175" t="s">
        <v>21</v>
      </c>
      <c r="L175" s="21">
        <v>90</v>
      </c>
      <c r="M175" s="21">
        <v>60</v>
      </c>
      <c r="N175" s="21">
        <v>90</v>
      </c>
      <c r="O175" s="21">
        <v>100</v>
      </c>
      <c r="P175" s="21">
        <v>95</v>
      </c>
      <c r="Q175">
        <f t="shared" si="31"/>
        <v>5</v>
      </c>
      <c r="R175">
        <f t="shared" si="32"/>
        <v>5</v>
      </c>
      <c r="S175">
        <f>IF(Q175=0,"",_xlfn.RANK.AVG(R175,$R$174:$R$209,1))</f>
        <v>23</v>
      </c>
      <c r="T175">
        <f t="shared" si="33"/>
        <v>23</v>
      </c>
    </row>
    <row r="176" spans="1:20">
      <c r="A176" t="s">
        <v>27</v>
      </c>
      <c r="B176">
        <v>81.2</v>
      </c>
      <c r="C176">
        <v>85</v>
      </c>
      <c r="D176">
        <v>70</v>
      </c>
      <c r="E176">
        <v>95</v>
      </c>
      <c r="F176">
        <v>60</v>
      </c>
      <c r="K176" t="s">
        <v>22</v>
      </c>
      <c r="L176" s="21">
        <v>90</v>
      </c>
      <c r="M176" s="21">
        <v>80</v>
      </c>
      <c r="N176" s="21">
        <v>90</v>
      </c>
      <c r="O176" s="21">
        <v>80</v>
      </c>
      <c r="P176" s="21">
        <v>90</v>
      </c>
      <c r="Q176">
        <f t="shared" si="31"/>
        <v>0</v>
      </c>
      <c r="R176">
        <f t="shared" si="32"/>
        <v>0</v>
      </c>
      <c r="S176" t="str">
        <f t="shared" ref="S176:S209" si="34">IF(Q176=0,"",_xlfn.RANK.AVG(R176,$R$174:$R$209,1))</f>
        <v/>
      </c>
      <c r="T176">
        <f t="shared" si="33"/>
        <v>0</v>
      </c>
    </row>
    <row r="177" spans="1:20">
      <c r="A177" t="s">
        <v>28</v>
      </c>
      <c r="B177">
        <v>81.8</v>
      </c>
      <c r="C177">
        <v>85</v>
      </c>
      <c r="D177">
        <v>70</v>
      </c>
      <c r="E177">
        <v>90</v>
      </c>
      <c r="F177">
        <v>75</v>
      </c>
      <c r="K177" t="s">
        <v>23</v>
      </c>
      <c r="L177" s="21">
        <v>80</v>
      </c>
      <c r="M177" s="21">
        <v>80</v>
      </c>
      <c r="N177" s="21">
        <v>100</v>
      </c>
      <c r="O177" s="21">
        <v>70</v>
      </c>
      <c r="P177" s="21">
        <v>90</v>
      </c>
      <c r="Q177">
        <f t="shared" si="31"/>
        <v>10</v>
      </c>
      <c r="R177">
        <f t="shared" si="32"/>
        <v>10</v>
      </c>
      <c r="S177">
        <f t="shared" si="34"/>
        <v>29</v>
      </c>
      <c r="T177">
        <f t="shared" si="33"/>
        <v>29</v>
      </c>
    </row>
    <row r="178" spans="1:20">
      <c r="A178" t="s">
        <v>29</v>
      </c>
      <c r="B178">
        <v>83</v>
      </c>
      <c r="C178">
        <v>85</v>
      </c>
      <c r="D178">
        <v>75</v>
      </c>
      <c r="E178">
        <v>95</v>
      </c>
      <c r="F178">
        <v>70</v>
      </c>
      <c r="K178" t="s">
        <v>24</v>
      </c>
      <c r="L178" s="21">
        <v>90</v>
      </c>
      <c r="M178" s="21">
        <v>80</v>
      </c>
      <c r="N178" s="21">
        <v>100</v>
      </c>
      <c r="O178" s="21">
        <v>100</v>
      </c>
      <c r="P178" s="21">
        <v>90</v>
      </c>
      <c r="Q178">
        <f t="shared" si="31"/>
        <v>0</v>
      </c>
      <c r="R178">
        <f t="shared" si="32"/>
        <v>0</v>
      </c>
      <c r="S178" t="str">
        <f t="shared" si="34"/>
        <v/>
      </c>
      <c r="T178">
        <f t="shared" si="33"/>
        <v>0</v>
      </c>
    </row>
    <row r="179" spans="1:20">
      <c r="A179" t="s">
        <v>30</v>
      </c>
      <c r="B179">
        <v>86</v>
      </c>
      <c r="C179">
        <v>85</v>
      </c>
      <c r="D179">
        <v>90</v>
      </c>
      <c r="E179">
        <v>95</v>
      </c>
      <c r="F179">
        <v>70</v>
      </c>
      <c r="K179" t="s">
        <v>25</v>
      </c>
      <c r="L179" s="21">
        <v>85</v>
      </c>
      <c r="M179" s="21">
        <v>80</v>
      </c>
      <c r="N179" s="21">
        <v>100</v>
      </c>
      <c r="O179" s="21">
        <v>100</v>
      </c>
      <c r="P179" s="21">
        <v>95</v>
      </c>
      <c r="Q179">
        <f t="shared" si="31"/>
        <v>10</v>
      </c>
      <c r="R179">
        <f t="shared" si="32"/>
        <v>10</v>
      </c>
      <c r="S179">
        <f t="shared" si="34"/>
        <v>29</v>
      </c>
      <c r="T179">
        <f t="shared" si="33"/>
        <v>29</v>
      </c>
    </row>
    <row r="180" spans="1:20">
      <c r="A180" t="s">
        <v>31</v>
      </c>
      <c r="B180">
        <v>81.6</v>
      </c>
      <c r="C180">
        <v>85</v>
      </c>
      <c r="D180">
        <v>75</v>
      </c>
      <c r="E180">
        <v>90</v>
      </c>
      <c r="F180">
        <v>60</v>
      </c>
      <c r="K180" t="s">
        <v>26</v>
      </c>
      <c r="L180" s="21">
        <v>90</v>
      </c>
      <c r="M180" s="21">
        <v>70</v>
      </c>
      <c r="N180" s="21">
        <v>100</v>
      </c>
      <c r="O180" s="21">
        <v>100</v>
      </c>
      <c r="P180" s="21">
        <v>90</v>
      </c>
      <c r="Q180">
        <f t="shared" si="31"/>
        <v>0</v>
      </c>
      <c r="R180">
        <f t="shared" si="32"/>
        <v>0</v>
      </c>
      <c r="S180" t="str">
        <f t="shared" si="34"/>
        <v/>
      </c>
      <c r="T180">
        <f t="shared" si="33"/>
        <v>0</v>
      </c>
    </row>
    <row r="181" spans="1:20">
      <c r="A181" t="s">
        <v>32</v>
      </c>
      <c r="B181">
        <v>81.6</v>
      </c>
      <c r="C181">
        <v>85</v>
      </c>
      <c r="D181">
        <v>75</v>
      </c>
      <c r="E181">
        <v>90</v>
      </c>
      <c r="F181">
        <v>60</v>
      </c>
      <c r="K181" t="s">
        <v>27</v>
      </c>
      <c r="L181" s="21">
        <v>90</v>
      </c>
      <c r="M181" s="21">
        <v>70</v>
      </c>
      <c r="N181" s="21">
        <v>100</v>
      </c>
      <c r="O181" s="21">
        <v>80</v>
      </c>
      <c r="P181" s="21">
        <v>95</v>
      </c>
      <c r="Q181">
        <f t="shared" si="31"/>
        <v>5</v>
      </c>
      <c r="R181">
        <f t="shared" si="32"/>
        <v>5</v>
      </c>
      <c r="S181">
        <f t="shared" si="34"/>
        <v>23</v>
      </c>
      <c r="T181">
        <f t="shared" si="33"/>
        <v>23</v>
      </c>
    </row>
    <row r="182" spans="1:20">
      <c r="A182" t="s">
        <v>33</v>
      </c>
      <c r="B182">
        <v>86</v>
      </c>
      <c r="C182">
        <v>85</v>
      </c>
      <c r="D182">
        <v>90</v>
      </c>
      <c r="E182">
        <v>95</v>
      </c>
      <c r="F182">
        <v>70</v>
      </c>
      <c r="K182" t="s">
        <v>28</v>
      </c>
      <c r="L182" s="21">
        <v>90</v>
      </c>
      <c r="M182" s="21">
        <v>75</v>
      </c>
      <c r="N182" s="21">
        <v>90</v>
      </c>
      <c r="O182" s="21">
        <v>60</v>
      </c>
      <c r="P182" s="21">
        <v>90</v>
      </c>
      <c r="Q182">
        <f t="shared" si="31"/>
        <v>0</v>
      </c>
      <c r="R182">
        <f t="shared" si="32"/>
        <v>0</v>
      </c>
      <c r="S182" t="str">
        <f t="shared" si="34"/>
        <v/>
      </c>
      <c r="T182">
        <f t="shared" si="33"/>
        <v>0</v>
      </c>
    </row>
    <row r="183" spans="1:20">
      <c r="A183" t="s">
        <v>34</v>
      </c>
      <c r="B183">
        <v>81.8</v>
      </c>
      <c r="C183">
        <v>85</v>
      </c>
      <c r="D183">
        <v>70</v>
      </c>
      <c r="E183">
        <v>90</v>
      </c>
      <c r="F183">
        <v>75</v>
      </c>
      <c r="K183" t="s">
        <v>29</v>
      </c>
      <c r="L183" s="21">
        <v>0</v>
      </c>
      <c r="M183" s="21">
        <v>80</v>
      </c>
      <c r="N183" s="21">
        <v>90</v>
      </c>
      <c r="O183" s="21">
        <v>0</v>
      </c>
      <c r="P183" s="21">
        <v>95</v>
      </c>
      <c r="Q183">
        <f t="shared" si="31"/>
        <v>95</v>
      </c>
      <c r="R183">
        <f t="shared" si="32"/>
        <v>95</v>
      </c>
      <c r="S183">
        <f t="shared" si="34"/>
        <v>35</v>
      </c>
      <c r="T183">
        <f t="shared" si="33"/>
        <v>35</v>
      </c>
    </row>
    <row r="184" spans="1:20">
      <c r="A184" t="s">
        <v>35</v>
      </c>
      <c r="B184">
        <v>82.2</v>
      </c>
      <c r="C184">
        <v>85</v>
      </c>
      <c r="D184">
        <v>75</v>
      </c>
      <c r="E184">
        <v>95</v>
      </c>
      <c r="F184">
        <v>60</v>
      </c>
      <c r="K184" t="s">
        <v>30</v>
      </c>
      <c r="L184" s="21">
        <v>95</v>
      </c>
      <c r="M184" s="21">
        <v>75</v>
      </c>
      <c r="N184" s="21">
        <v>95</v>
      </c>
      <c r="O184" s="21">
        <v>100</v>
      </c>
      <c r="P184" s="21">
        <v>95</v>
      </c>
      <c r="Q184">
        <f t="shared" si="31"/>
        <v>0</v>
      </c>
      <c r="R184">
        <f t="shared" si="32"/>
        <v>0</v>
      </c>
      <c r="S184" t="str">
        <f t="shared" si="34"/>
        <v/>
      </c>
      <c r="T184">
        <f t="shared" si="33"/>
        <v>0</v>
      </c>
    </row>
    <row r="185" spans="1:20">
      <c r="A185" t="s">
        <v>36</v>
      </c>
      <c r="B185">
        <v>61</v>
      </c>
      <c r="C185">
        <v>65</v>
      </c>
      <c r="D185">
        <v>40</v>
      </c>
      <c r="E185">
        <v>90</v>
      </c>
      <c r="F185">
        <v>40</v>
      </c>
      <c r="K185" t="s">
        <v>31</v>
      </c>
      <c r="L185" s="21">
        <v>90</v>
      </c>
      <c r="M185" s="21">
        <v>80</v>
      </c>
      <c r="N185" s="21">
        <v>100</v>
      </c>
      <c r="O185" s="21">
        <v>95</v>
      </c>
      <c r="P185" s="21">
        <v>90</v>
      </c>
      <c r="Q185">
        <f t="shared" si="31"/>
        <v>0</v>
      </c>
      <c r="R185">
        <f t="shared" si="32"/>
        <v>0</v>
      </c>
      <c r="S185" t="str">
        <f t="shared" si="34"/>
        <v/>
      </c>
      <c r="T185">
        <f t="shared" si="33"/>
        <v>0</v>
      </c>
    </row>
    <row r="186" spans="1:20">
      <c r="A186" t="s">
        <v>37</v>
      </c>
      <c r="B186">
        <v>80.6</v>
      </c>
      <c r="C186">
        <v>85</v>
      </c>
      <c r="D186">
        <v>70</v>
      </c>
      <c r="E186">
        <v>90</v>
      </c>
      <c r="F186">
        <v>60</v>
      </c>
      <c r="K186" t="s">
        <v>32</v>
      </c>
      <c r="L186" s="21">
        <v>85</v>
      </c>
      <c r="M186" s="21">
        <v>75</v>
      </c>
      <c r="N186" s="21">
        <v>95</v>
      </c>
      <c r="O186" s="21">
        <v>100</v>
      </c>
      <c r="P186" s="21">
        <v>90</v>
      </c>
      <c r="Q186">
        <f t="shared" si="31"/>
        <v>5</v>
      </c>
      <c r="R186">
        <f t="shared" si="32"/>
        <v>5</v>
      </c>
      <c r="S186">
        <f t="shared" si="34"/>
        <v>23</v>
      </c>
      <c r="T186">
        <f t="shared" si="33"/>
        <v>23</v>
      </c>
    </row>
    <row r="187" spans="1:20">
      <c r="A187" t="s">
        <v>38</v>
      </c>
      <c r="B187">
        <v>93.2</v>
      </c>
      <c r="C187">
        <v>95</v>
      </c>
      <c r="D187">
        <v>90</v>
      </c>
      <c r="E187">
        <v>95</v>
      </c>
      <c r="F187">
        <v>85</v>
      </c>
      <c r="K187" t="s">
        <v>33</v>
      </c>
      <c r="L187" s="21">
        <v>85</v>
      </c>
      <c r="M187" s="21">
        <v>80</v>
      </c>
      <c r="N187" s="21">
        <v>90</v>
      </c>
      <c r="O187" s="21">
        <v>60</v>
      </c>
      <c r="P187" s="21">
        <v>95</v>
      </c>
      <c r="Q187">
        <f t="shared" si="31"/>
        <v>10</v>
      </c>
      <c r="R187">
        <f t="shared" si="32"/>
        <v>10</v>
      </c>
      <c r="S187">
        <f t="shared" si="34"/>
        <v>29</v>
      </c>
      <c r="T187">
        <f t="shared" si="33"/>
        <v>29</v>
      </c>
    </row>
    <row r="188" spans="1:20">
      <c r="A188" t="s">
        <v>39</v>
      </c>
      <c r="B188">
        <v>81.2</v>
      </c>
      <c r="C188">
        <v>85</v>
      </c>
      <c r="D188">
        <v>70</v>
      </c>
      <c r="E188">
        <v>95</v>
      </c>
      <c r="F188">
        <v>60</v>
      </c>
      <c r="K188" t="s">
        <v>34</v>
      </c>
      <c r="L188" s="21">
        <v>90</v>
      </c>
      <c r="M188" s="21">
        <v>70</v>
      </c>
      <c r="N188" s="21">
        <v>90</v>
      </c>
      <c r="O188" s="21">
        <v>100</v>
      </c>
      <c r="P188" s="21">
        <v>90</v>
      </c>
      <c r="Q188">
        <f t="shared" si="31"/>
        <v>0</v>
      </c>
      <c r="R188">
        <f t="shared" si="32"/>
        <v>0</v>
      </c>
      <c r="S188" t="str">
        <f t="shared" si="34"/>
        <v/>
      </c>
      <c r="T188">
        <f t="shared" si="33"/>
        <v>0</v>
      </c>
    </row>
    <row r="189" spans="1:20">
      <c r="A189" t="s">
        <v>40</v>
      </c>
      <c r="B189">
        <v>81.6</v>
      </c>
      <c r="C189">
        <v>85</v>
      </c>
      <c r="D189">
        <v>75</v>
      </c>
      <c r="E189">
        <v>90</v>
      </c>
      <c r="F189">
        <v>60</v>
      </c>
      <c r="K189" t="s">
        <v>35</v>
      </c>
      <c r="L189" s="21">
        <v>90</v>
      </c>
      <c r="M189" s="21">
        <v>80</v>
      </c>
      <c r="N189" s="21">
        <v>95</v>
      </c>
      <c r="O189" s="21">
        <v>60</v>
      </c>
      <c r="P189" s="21">
        <v>95</v>
      </c>
      <c r="Q189">
        <f t="shared" si="31"/>
        <v>5</v>
      </c>
      <c r="R189">
        <f t="shared" si="32"/>
        <v>5</v>
      </c>
      <c r="S189">
        <f t="shared" si="34"/>
        <v>23</v>
      </c>
      <c r="T189">
        <f t="shared" si="33"/>
        <v>23</v>
      </c>
    </row>
    <row r="190" spans="1:20">
      <c r="A190" t="s">
        <v>41</v>
      </c>
      <c r="B190">
        <v>43.6</v>
      </c>
      <c r="C190">
        <v>40</v>
      </c>
      <c r="D190">
        <v>30</v>
      </c>
      <c r="E190">
        <v>80</v>
      </c>
      <c r="F190">
        <v>50</v>
      </c>
      <c r="K190" t="s">
        <v>36</v>
      </c>
      <c r="L190" s="21">
        <v>90</v>
      </c>
      <c r="M190" s="21">
        <v>80</v>
      </c>
      <c r="N190" s="21">
        <v>90</v>
      </c>
      <c r="O190" s="21">
        <v>80</v>
      </c>
      <c r="P190" s="21">
        <v>90</v>
      </c>
      <c r="Q190">
        <f t="shared" si="31"/>
        <v>0</v>
      </c>
      <c r="R190">
        <f t="shared" si="32"/>
        <v>0</v>
      </c>
      <c r="S190" t="str">
        <f t="shared" si="34"/>
        <v/>
      </c>
      <c r="T190">
        <f t="shared" si="33"/>
        <v>0</v>
      </c>
    </row>
    <row r="191" spans="1:20">
      <c r="A191" t="s">
        <v>42</v>
      </c>
      <c r="B191">
        <v>80.6</v>
      </c>
      <c r="C191">
        <v>85</v>
      </c>
      <c r="D191">
        <v>70</v>
      </c>
      <c r="E191">
        <v>90</v>
      </c>
      <c r="F191">
        <v>60</v>
      </c>
      <c r="K191" t="s">
        <v>37</v>
      </c>
      <c r="L191" s="21">
        <v>90</v>
      </c>
      <c r="M191" s="21">
        <v>70</v>
      </c>
      <c r="N191" s="21">
        <v>95</v>
      </c>
      <c r="O191" s="21">
        <v>100</v>
      </c>
      <c r="P191" s="21">
        <v>90</v>
      </c>
      <c r="Q191">
        <f t="shared" si="31"/>
        <v>0</v>
      </c>
      <c r="R191">
        <f t="shared" si="32"/>
        <v>0</v>
      </c>
      <c r="S191" t="str">
        <f t="shared" si="34"/>
        <v/>
      </c>
      <c r="T191">
        <f t="shared" si="33"/>
        <v>0</v>
      </c>
    </row>
    <row r="192" spans="1:20">
      <c r="A192" t="s">
        <v>43</v>
      </c>
      <c r="B192">
        <v>81.6</v>
      </c>
      <c r="C192">
        <v>85</v>
      </c>
      <c r="D192">
        <v>75</v>
      </c>
      <c r="E192">
        <v>90</v>
      </c>
      <c r="F192">
        <v>60</v>
      </c>
      <c r="K192" t="s">
        <v>38</v>
      </c>
      <c r="L192" s="21">
        <v>95</v>
      </c>
      <c r="M192" s="21">
        <v>75</v>
      </c>
      <c r="N192" s="21">
        <v>100</v>
      </c>
      <c r="O192" s="21">
        <v>100</v>
      </c>
      <c r="P192" s="21">
        <v>95</v>
      </c>
      <c r="Q192">
        <f t="shared" si="31"/>
        <v>0</v>
      </c>
      <c r="R192">
        <f t="shared" si="32"/>
        <v>0</v>
      </c>
      <c r="S192" t="str">
        <f t="shared" si="34"/>
        <v/>
      </c>
      <c r="T192">
        <f t="shared" si="33"/>
        <v>0</v>
      </c>
    </row>
    <row r="193" spans="1:20">
      <c r="A193" t="s">
        <v>44</v>
      </c>
      <c r="B193">
        <v>83</v>
      </c>
      <c r="C193">
        <v>85</v>
      </c>
      <c r="D193">
        <v>75</v>
      </c>
      <c r="E193">
        <v>95</v>
      </c>
      <c r="F193">
        <v>70</v>
      </c>
      <c r="K193" t="s">
        <v>39</v>
      </c>
      <c r="L193" s="21">
        <v>80</v>
      </c>
      <c r="M193" s="21">
        <v>50</v>
      </c>
      <c r="N193" s="21">
        <v>95</v>
      </c>
      <c r="O193" s="21">
        <v>95</v>
      </c>
      <c r="P193" s="21">
        <v>95</v>
      </c>
      <c r="Q193">
        <f t="shared" si="31"/>
        <v>15</v>
      </c>
      <c r="R193">
        <f t="shared" si="32"/>
        <v>15</v>
      </c>
      <c r="S193">
        <f t="shared" si="34"/>
        <v>32.5</v>
      </c>
      <c r="T193">
        <f t="shared" si="33"/>
        <v>32.5</v>
      </c>
    </row>
    <row r="194" spans="1:20">
      <c r="A194" t="s">
        <v>46</v>
      </c>
      <c r="B194">
        <v>81.2</v>
      </c>
      <c r="C194">
        <v>85</v>
      </c>
      <c r="D194">
        <v>70</v>
      </c>
      <c r="E194">
        <v>95</v>
      </c>
      <c r="F194">
        <v>60</v>
      </c>
      <c r="K194" t="s">
        <v>40</v>
      </c>
      <c r="L194" s="21">
        <v>90</v>
      </c>
      <c r="M194" s="21">
        <v>80</v>
      </c>
      <c r="N194" s="21">
        <v>100</v>
      </c>
      <c r="O194" s="21">
        <v>70</v>
      </c>
      <c r="P194" s="21">
        <v>90</v>
      </c>
      <c r="Q194">
        <f t="shared" si="31"/>
        <v>0</v>
      </c>
      <c r="R194">
        <f t="shared" si="32"/>
        <v>0</v>
      </c>
      <c r="S194" t="str">
        <f t="shared" si="34"/>
        <v/>
      </c>
      <c r="T194">
        <f t="shared" si="33"/>
        <v>0</v>
      </c>
    </row>
    <row r="195" spans="1:20">
      <c r="A195" t="s">
        <v>45</v>
      </c>
      <c r="B195">
        <v>81.8</v>
      </c>
      <c r="C195">
        <v>85</v>
      </c>
      <c r="D195">
        <v>70</v>
      </c>
      <c r="E195">
        <v>90</v>
      </c>
      <c r="F195">
        <v>75</v>
      </c>
      <c r="K195" t="s">
        <v>41</v>
      </c>
      <c r="L195" s="21">
        <v>90</v>
      </c>
      <c r="M195" s="21">
        <v>90</v>
      </c>
      <c r="N195" s="21">
        <v>90</v>
      </c>
      <c r="O195" s="21">
        <v>80</v>
      </c>
      <c r="P195" s="21">
        <v>80</v>
      </c>
      <c r="Q195">
        <f t="shared" si="31"/>
        <v>-10</v>
      </c>
      <c r="R195">
        <f t="shared" si="32"/>
        <v>10</v>
      </c>
      <c r="S195">
        <f t="shared" si="34"/>
        <v>29</v>
      </c>
      <c r="T195">
        <f t="shared" si="33"/>
        <v>0</v>
      </c>
    </row>
    <row r="196" spans="1:20">
      <c r="A196" t="s">
        <v>47</v>
      </c>
      <c r="B196">
        <v>83</v>
      </c>
      <c r="C196">
        <v>85</v>
      </c>
      <c r="D196">
        <v>75</v>
      </c>
      <c r="E196">
        <v>95</v>
      </c>
      <c r="F196">
        <v>70</v>
      </c>
      <c r="K196" t="s">
        <v>42</v>
      </c>
      <c r="L196" s="21">
        <v>90</v>
      </c>
      <c r="M196" s="21">
        <v>80</v>
      </c>
      <c r="N196" s="21">
        <v>85</v>
      </c>
      <c r="O196" s="21">
        <v>60</v>
      </c>
      <c r="P196" s="21">
        <v>90</v>
      </c>
      <c r="Q196">
        <f t="shared" si="31"/>
        <v>0</v>
      </c>
      <c r="R196">
        <f t="shared" si="32"/>
        <v>0</v>
      </c>
      <c r="S196" t="str">
        <f t="shared" si="34"/>
        <v/>
      </c>
      <c r="T196">
        <f t="shared" si="33"/>
        <v>0</v>
      </c>
    </row>
    <row r="197" spans="1:20">
      <c r="A197" t="s">
        <v>48</v>
      </c>
      <c r="B197">
        <v>69</v>
      </c>
      <c r="C197">
        <v>70</v>
      </c>
      <c r="D197">
        <v>65</v>
      </c>
      <c r="E197">
        <v>90</v>
      </c>
      <c r="F197">
        <v>40</v>
      </c>
      <c r="K197" t="s">
        <v>43</v>
      </c>
      <c r="L197" s="21">
        <v>90</v>
      </c>
      <c r="M197" s="21">
        <v>0</v>
      </c>
      <c r="N197" s="21">
        <v>90</v>
      </c>
      <c r="O197" s="21">
        <v>60</v>
      </c>
      <c r="P197" s="21">
        <v>90</v>
      </c>
      <c r="Q197">
        <f t="shared" si="31"/>
        <v>0</v>
      </c>
      <c r="R197">
        <f t="shared" si="32"/>
        <v>0</v>
      </c>
      <c r="S197" t="str">
        <f t="shared" si="34"/>
        <v/>
      </c>
      <c r="T197">
        <f t="shared" si="33"/>
        <v>0</v>
      </c>
    </row>
    <row r="198" spans="1:20">
      <c r="A198" t="s">
        <v>49</v>
      </c>
      <c r="B198">
        <v>86</v>
      </c>
      <c r="C198">
        <v>85</v>
      </c>
      <c r="D198">
        <v>90</v>
      </c>
      <c r="E198">
        <v>95</v>
      </c>
      <c r="F198">
        <v>70</v>
      </c>
      <c r="K198" t="s">
        <v>44</v>
      </c>
      <c r="L198" s="21">
        <v>95</v>
      </c>
      <c r="M198" s="21">
        <v>85</v>
      </c>
      <c r="N198" s="21">
        <v>95</v>
      </c>
      <c r="O198" s="21">
        <v>60</v>
      </c>
      <c r="P198" s="21">
        <v>95</v>
      </c>
      <c r="Q198">
        <f t="shared" si="31"/>
        <v>0</v>
      </c>
      <c r="R198">
        <f t="shared" si="32"/>
        <v>0</v>
      </c>
      <c r="S198" t="str">
        <f t="shared" si="34"/>
        <v/>
      </c>
      <c r="T198">
        <f t="shared" si="33"/>
        <v>0</v>
      </c>
    </row>
    <row r="199" spans="1:20">
      <c r="A199" t="s">
        <v>50</v>
      </c>
      <c r="B199">
        <v>82.2</v>
      </c>
      <c r="C199">
        <v>85</v>
      </c>
      <c r="D199">
        <v>75</v>
      </c>
      <c r="E199">
        <v>95</v>
      </c>
      <c r="F199">
        <v>60</v>
      </c>
      <c r="K199" t="s">
        <v>46</v>
      </c>
      <c r="L199" s="21">
        <v>0</v>
      </c>
      <c r="M199" s="21">
        <v>0</v>
      </c>
      <c r="N199" s="21">
        <v>95</v>
      </c>
      <c r="O199" s="21">
        <v>100</v>
      </c>
      <c r="P199" s="21">
        <v>95</v>
      </c>
      <c r="Q199">
        <f t="shared" si="31"/>
        <v>95</v>
      </c>
      <c r="R199">
        <f t="shared" si="32"/>
        <v>95</v>
      </c>
      <c r="S199">
        <f t="shared" si="34"/>
        <v>35</v>
      </c>
      <c r="T199">
        <f t="shared" si="33"/>
        <v>35</v>
      </c>
    </row>
    <row r="200" spans="1:20">
      <c r="A200" t="s">
        <v>51</v>
      </c>
      <c r="B200">
        <v>82.4</v>
      </c>
      <c r="C200">
        <v>85</v>
      </c>
      <c r="D200">
        <v>75</v>
      </c>
      <c r="E200">
        <v>90</v>
      </c>
      <c r="F200">
        <v>70</v>
      </c>
      <c r="K200" t="s">
        <v>45</v>
      </c>
      <c r="L200" s="21">
        <v>90</v>
      </c>
      <c r="M200" s="21">
        <v>80</v>
      </c>
      <c r="N200" s="21">
        <v>100</v>
      </c>
      <c r="O200" s="21">
        <v>100</v>
      </c>
      <c r="P200" s="21">
        <v>90</v>
      </c>
      <c r="Q200">
        <f t="shared" si="31"/>
        <v>0</v>
      </c>
      <c r="R200">
        <f t="shared" si="32"/>
        <v>0</v>
      </c>
      <c r="S200" t="str">
        <f t="shared" si="34"/>
        <v/>
      </c>
      <c r="T200">
        <f t="shared" si="33"/>
        <v>0</v>
      </c>
    </row>
    <row r="201" spans="1:20">
      <c r="A201" t="s">
        <v>54</v>
      </c>
      <c r="B201">
        <v>82.4</v>
      </c>
      <c r="C201">
        <v>85</v>
      </c>
      <c r="D201">
        <v>70</v>
      </c>
      <c r="E201">
        <v>95</v>
      </c>
      <c r="F201">
        <v>75</v>
      </c>
      <c r="K201" t="s">
        <v>47</v>
      </c>
      <c r="L201" s="21">
        <v>80</v>
      </c>
      <c r="M201" s="21">
        <v>80</v>
      </c>
      <c r="N201" s="21">
        <v>100</v>
      </c>
      <c r="O201" s="21">
        <v>60</v>
      </c>
      <c r="P201" s="21">
        <v>95</v>
      </c>
      <c r="Q201">
        <f t="shared" si="31"/>
        <v>15</v>
      </c>
      <c r="R201">
        <f t="shared" si="32"/>
        <v>15</v>
      </c>
      <c r="S201">
        <f t="shared" si="34"/>
        <v>32.5</v>
      </c>
      <c r="T201">
        <f t="shared" si="33"/>
        <v>32.5</v>
      </c>
    </row>
    <row r="202" spans="1:20">
      <c r="A202" t="s">
        <v>52</v>
      </c>
      <c r="B202">
        <v>83</v>
      </c>
      <c r="C202">
        <v>85</v>
      </c>
      <c r="D202">
        <v>75</v>
      </c>
      <c r="E202">
        <v>95</v>
      </c>
      <c r="F202">
        <v>70</v>
      </c>
      <c r="K202" t="s">
        <v>48</v>
      </c>
      <c r="L202" s="21">
        <v>90</v>
      </c>
      <c r="M202" s="21">
        <v>70</v>
      </c>
      <c r="N202" s="21">
        <v>100</v>
      </c>
      <c r="O202" s="21">
        <v>100</v>
      </c>
      <c r="P202" s="21">
        <v>90</v>
      </c>
      <c r="Q202">
        <f t="shared" si="31"/>
        <v>0</v>
      </c>
      <c r="R202">
        <f t="shared" si="32"/>
        <v>0</v>
      </c>
      <c r="S202" t="str">
        <f t="shared" si="34"/>
        <v/>
      </c>
      <c r="T202">
        <f t="shared" si="33"/>
        <v>0</v>
      </c>
    </row>
    <row r="203" spans="1:20">
      <c r="A203" t="s">
        <v>53</v>
      </c>
      <c r="B203">
        <v>86</v>
      </c>
      <c r="C203">
        <v>85</v>
      </c>
      <c r="D203">
        <v>90</v>
      </c>
      <c r="E203">
        <v>95</v>
      </c>
      <c r="F203">
        <v>70</v>
      </c>
      <c r="K203" t="s">
        <v>49</v>
      </c>
      <c r="L203" s="21">
        <v>90</v>
      </c>
      <c r="M203" s="21">
        <v>80</v>
      </c>
      <c r="N203" s="21">
        <v>100</v>
      </c>
      <c r="O203" s="21">
        <v>100</v>
      </c>
      <c r="P203" s="21">
        <v>95</v>
      </c>
      <c r="Q203">
        <f t="shared" si="31"/>
        <v>5</v>
      </c>
      <c r="R203">
        <f t="shared" si="32"/>
        <v>5</v>
      </c>
      <c r="S203">
        <f t="shared" si="34"/>
        <v>23</v>
      </c>
      <c r="T203">
        <f t="shared" si="33"/>
        <v>23</v>
      </c>
    </row>
    <row r="204" spans="1:20">
      <c r="A204" t="s">
        <v>55</v>
      </c>
      <c r="B204">
        <v>79</v>
      </c>
      <c r="C204">
        <v>85</v>
      </c>
      <c r="D204">
        <v>70</v>
      </c>
      <c r="E204">
        <v>90</v>
      </c>
      <c r="F204">
        <v>40</v>
      </c>
      <c r="K204" t="s">
        <v>50</v>
      </c>
      <c r="L204" s="21">
        <v>90</v>
      </c>
      <c r="M204" s="21">
        <v>70</v>
      </c>
      <c r="N204" s="21">
        <v>95</v>
      </c>
      <c r="O204" s="21">
        <v>95</v>
      </c>
      <c r="P204" s="21">
        <v>95</v>
      </c>
      <c r="Q204">
        <f t="shared" si="31"/>
        <v>5</v>
      </c>
      <c r="R204">
        <f t="shared" si="32"/>
        <v>5</v>
      </c>
      <c r="S204">
        <f t="shared" si="34"/>
        <v>23</v>
      </c>
      <c r="T204">
        <f t="shared" si="33"/>
        <v>23</v>
      </c>
    </row>
    <row r="205" spans="1:20">
      <c r="A205" t="s">
        <v>56</v>
      </c>
      <c r="B205" s="12">
        <f>AVERAGE(B169:B204)</f>
        <v>80.3888888888889</v>
      </c>
      <c r="C205" s="12">
        <f>AVERAGE(C169:C204)</f>
        <v>82.7777777777778</v>
      </c>
      <c r="D205" s="12">
        <f>AVERAGE(D169:D204)</f>
        <v>73.1944444444444</v>
      </c>
      <c r="E205" s="12">
        <f>AVERAGE(E169:E204)</f>
        <v>92.0833333333333</v>
      </c>
      <c r="F205" s="12">
        <f>AVERAGE(F169:F204)</f>
        <v>62.9166666666667</v>
      </c>
      <c r="K205" t="s">
        <v>51</v>
      </c>
      <c r="L205" s="21">
        <v>100</v>
      </c>
      <c r="M205" s="21">
        <v>85</v>
      </c>
      <c r="N205" s="21">
        <v>95</v>
      </c>
      <c r="O205" s="21">
        <v>95</v>
      </c>
      <c r="P205" s="21">
        <v>90</v>
      </c>
      <c r="Q205">
        <f t="shared" si="31"/>
        <v>-10</v>
      </c>
      <c r="R205">
        <f t="shared" si="32"/>
        <v>10</v>
      </c>
      <c r="S205">
        <f t="shared" si="34"/>
        <v>29</v>
      </c>
      <c r="T205">
        <f t="shared" si="33"/>
        <v>0</v>
      </c>
    </row>
    <row r="206" spans="1:20">
      <c r="A206" t="s">
        <v>57</v>
      </c>
      <c r="B206" s="12">
        <f>_xlfn.STDEV.S(B169:B204)</f>
        <v>8.13991146943004</v>
      </c>
      <c r="C206" s="12">
        <f>_xlfn.STDEV.S(C169:C204)</f>
        <v>8.7378032908281</v>
      </c>
      <c r="D206" s="12">
        <f>_xlfn.STDEV.S(D169:D204)</f>
        <v>11.9015471850019</v>
      </c>
      <c r="E206" s="12">
        <f>_xlfn.STDEV.S(E169:E204)</f>
        <v>3.2458765050005</v>
      </c>
      <c r="F206" s="12">
        <f>_xlfn.STDEV.S(F169:F204)</f>
        <v>10.715476124346</v>
      </c>
      <c r="K206" t="s">
        <v>54</v>
      </c>
      <c r="L206" s="21">
        <v>0</v>
      </c>
      <c r="M206" s="21">
        <v>80</v>
      </c>
      <c r="N206" s="21">
        <v>95</v>
      </c>
      <c r="O206" s="21">
        <v>50</v>
      </c>
      <c r="P206" s="21">
        <v>95</v>
      </c>
      <c r="Q206">
        <f t="shared" si="31"/>
        <v>95</v>
      </c>
      <c r="R206">
        <f t="shared" si="32"/>
        <v>95</v>
      </c>
      <c r="S206">
        <f t="shared" si="34"/>
        <v>35</v>
      </c>
      <c r="T206">
        <f t="shared" si="33"/>
        <v>35</v>
      </c>
    </row>
    <row r="207" spans="1:20">
      <c r="K207" t="s">
        <v>52</v>
      </c>
      <c r="L207" s="21">
        <v>90</v>
      </c>
      <c r="M207" s="21">
        <v>80</v>
      </c>
      <c r="N207" s="21">
        <v>90</v>
      </c>
      <c r="O207" s="21">
        <v>100</v>
      </c>
      <c r="P207" s="21">
        <v>95</v>
      </c>
      <c r="Q207">
        <f t="shared" si="31"/>
        <v>5</v>
      </c>
      <c r="R207">
        <f t="shared" si="32"/>
        <v>5</v>
      </c>
      <c r="S207">
        <f t="shared" si="34"/>
        <v>23</v>
      </c>
      <c r="T207">
        <f t="shared" si="33"/>
        <v>23</v>
      </c>
    </row>
    <row r="208" spans="1:20">
      <c r="K208" t="s">
        <v>53</v>
      </c>
      <c r="L208" s="21">
        <v>95</v>
      </c>
      <c r="M208" s="21">
        <v>70</v>
      </c>
      <c r="N208" s="21">
        <v>100</v>
      </c>
      <c r="O208" s="21">
        <v>95</v>
      </c>
      <c r="P208" s="21">
        <v>95</v>
      </c>
      <c r="Q208">
        <f t="shared" si="31"/>
        <v>0</v>
      </c>
      <c r="R208">
        <f t="shared" si="32"/>
        <v>0</v>
      </c>
      <c r="S208" t="str">
        <f t="shared" si="34"/>
        <v/>
      </c>
      <c r="T208">
        <f t="shared" si="33"/>
        <v>0</v>
      </c>
    </row>
    <row r="209" spans="11:20">
      <c r="K209" t="s">
        <v>55</v>
      </c>
      <c r="L209" s="21">
        <v>90</v>
      </c>
      <c r="M209" s="21">
        <v>80</v>
      </c>
      <c r="N209" s="21">
        <v>100</v>
      </c>
      <c r="O209" s="21">
        <v>100</v>
      </c>
      <c r="P209" s="21">
        <v>90</v>
      </c>
      <c r="Q209">
        <f t="shared" si="31"/>
        <v>0</v>
      </c>
      <c r="R209">
        <f t="shared" si="32"/>
        <v>0</v>
      </c>
      <c r="S209" t="str">
        <f t="shared" si="34"/>
        <v/>
      </c>
      <c r="T209">
        <f t="shared" si="33"/>
        <v>0</v>
      </c>
    </row>
    <row r="210" spans="11:20">
      <c r="K210" t="s">
        <v>56</v>
      </c>
      <c r="L210" s="16">
        <f t="shared" ref="L210:P210" si="35">AVERAGE(L174:L209)</f>
        <v>82.0833333333333</v>
      </c>
      <c r="M210" s="16">
        <f t="shared" si="35"/>
        <v>71.9444444444444</v>
      </c>
      <c r="N210" s="16">
        <f t="shared" si="35"/>
        <v>95.1388888888889</v>
      </c>
      <c r="O210" s="16">
        <f t="shared" si="35"/>
        <v>82.3611111111111</v>
      </c>
      <c r="P210" s="16">
        <f t="shared" si="35"/>
        <v>92.0833333333333</v>
      </c>
      <c r="T210">
        <f>SUM(T174:T209)</f>
        <v>418</v>
      </c>
    </row>
    <row r="211" spans="11:20">
      <c r="K211" t="s">
        <v>57</v>
      </c>
      <c r="L211" s="16">
        <f t="shared" ref="L211:P211" si="36">_xlfn.STDEV.S(L174:L209)</f>
        <v>25.4214476377723</v>
      </c>
      <c r="M211" s="16">
        <f t="shared" si="36"/>
        <v>19.1340301847549</v>
      </c>
      <c r="N211" s="16">
        <f t="shared" si="36"/>
        <v>4.54911468798539</v>
      </c>
      <c r="O211" s="16">
        <f t="shared" si="36"/>
        <v>22.4399551537339</v>
      </c>
      <c r="P211" s="16">
        <f t="shared" si="36"/>
        <v>3.2458765050005</v>
      </c>
    </row>
    <row r="212" spans="11:20">
      <c r="K212" t="s">
        <v>58</v>
      </c>
      <c r="L212" s="48">
        <f t="shared" ref="L212:P212" si="37">_xlfn.STDEV.S(L174:L209)/AVERAGE(L174:L209)</f>
        <v>0.309702915384028</v>
      </c>
      <c r="M212" s="48">
        <f t="shared" si="37"/>
        <v>0.265955631911651</v>
      </c>
      <c r="N212" s="48">
        <f t="shared" si="37"/>
        <v>0.0478155120488976</v>
      </c>
      <c r="O212" s="48">
        <f t="shared" si="37"/>
        <v>0.272458140146516</v>
      </c>
      <c r="P212" s="48">
        <f t="shared" si="37"/>
        <v>0.0352493376108652</v>
      </c>
      <c r="Q212" s="10"/>
    </row>
    <row r="213" spans="11:20">
      <c r="K213" t="s">
        <v>59</v>
      </c>
      <c r="L213" s="10">
        <f>P210-L210</f>
        <v>10</v>
      </c>
      <c r="M213" s="10"/>
      <c r="N213" s="10"/>
      <c r="O213" s="10"/>
      <c r="P213" s="10"/>
      <c r="Q213" s="10"/>
    </row>
    <row r="214" spans="11:20">
      <c r="K214" t="s">
        <v>60</v>
      </c>
      <c r="L214" s="10">
        <f>AVERAGE(Q174:Q209)/(_xlfn.STDEV.S(Q174:Q209)/SQRT(COUNT(Q174:Q209)))</f>
        <v>2.26317282139747</v>
      </c>
      <c r="M214" s="10"/>
      <c r="N214" s="10"/>
      <c r="O214" s="10"/>
      <c r="P214" s="10"/>
      <c r="Q214" s="10"/>
    </row>
    <row r="215" spans="11:20">
      <c r="K215" t="s">
        <v>61</v>
      </c>
      <c r="L215" s="49" cm="1">
        <f t="array" ref="L215">TTEST(L174:L209,P174:P209,2,1)</f>
        <v>0.0299331539496243</v>
      </c>
      <c r="M215" s="10"/>
      <c r="N215" s="10"/>
      <c r="O215" s="10"/>
      <c r="P215" s="10"/>
      <c r="Q215" s="10"/>
    </row>
    <row r="216" spans="11:20">
      <c r="K216" t="s">
        <v>62</v>
      </c>
      <c r="L216" s="24">
        <f>AVERAGE(Q174:Q209)/_xlfn.STDEV.S(Q174:Q209)</f>
        <v>0.377195470232912</v>
      </c>
      <c r="M216" s="10"/>
      <c r="N216" s="10"/>
      <c r="O216" s="10"/>
      <c r="P216" s="10"/>
      <c r="Q216" s="10"/>
    </row>
    <row r="217" spans="11:20">
      <c r="K217" t="s">
        <v>63</v>
      </c>
      <c r="L217">
        <f>COUNT(Q174:Q209)</f>
        <v>36</v>
      </c>
      <c r="M217" s="10"/>
      <c r="N217" s="10"/>
      <c r="O217" s="10"/>
      <c r="P217" s="10"/>
      <c r="Q217" s="10"/>
    </row>
    <row r="218" spans="11:20">
      <c r="K218" t="s">
        <v>64</v>
      </c>
      <c r="L218">
        <f>TINV(0.05,L217-1)</f>
        <v>2.03010792825034</v>
      </c>
      <c r="M218" s="10"/>
      <c r="N218" s="10"/>
      <c r="O218" s="10"/>
      <c r="P218" s="10"/>
      <c r="Q218" s="10"/>
    </row>
    <row r="219" spans="11:20">
      <c r="K219" t="s">
        <v>65</v>
      </c>
      <c r="L219" s="50">
        <f>SQRT(1/L217+L216^2/(2*(L217-1)))</f>
        <v>0.172656590094271</v>
      </c>
      <c r="M219" s="10"/>
      <c r="N219" s="10"/>
      <c r="O219" s="10"/>
      <c r="P219" s="10"/>
      <c r="Q219" s="10"/>
    </row>
    <row r="220" spans="11:20">
      <c r="K220" t="s">
        <v>66</v>
      </c>
      <c r="L220" s="50">
        <f>L216-L218*L219</f>
        <v>0.0266839578178634</v>
      </c>
      <c r="M220" s="10"/>
      <c r="N220" s="10"/>
      <c r="O220" s="10"/>
      <c r="P220" s="10"/>
      <c r="Q220" s="10"/>
    </row>
    <row r="221" spans="11:20">
      <c r="K221" t="s">
        <v>67</v>
      </c>
      <c r="L221" s="50">
        <f>L216+L219*L218</f>
        <v>0.727706982647961</v>
      </c>
      <c r="M221" s="10"/>
      <c r="N221" s="10"/>
      <c r="O221" s="10"/>
      <c r="P221" s="10"/>
      <c r="Q221" s="10"/>
    </row>
    <row r="222" spans="11:20">
      <c r="K222" t="s">
        <v>68</v>
      </c>
      <c r="L222" s="10">
        <f>MIN(T210:U210)</f>
        <v>418</v>
      </c>
      <c r="M222" s="10"/>
      <c r="N222" s="10"/>
      <c r="O222" s="10"/>
      <c r="P222" s="10"/>
      <c r="Q222" s="10"/>
    </row>
    <row r="223" spans="11:20">
      <c r="K223" t="s">
        <v>69</v>
      </c>
      <c r="L223" s="50"/>
      <c r="M223" s="51" t="s">
        <v>70</v>
      </c>
      <c r="N223" s="10"/>
      <c r="O223" s="10"/>
      <c r="P223" s="10"/>
      <c r="Q223" s="10"/>
    </row>
    <row r="224" spans="11:20">
      <c r="K224" t="s">
        <v>71</v>
      </c>
      <c r="L224" s="50"/>
      <c r="M224" s="51"/>
    </row>
    <row r="229" spans="11:20">
      <c r="K229" t="s">
        <v>9</v>
      </c>
    </row>
    <row r="230" spans="11:20">
      <c r="K230" s="2" t="s">
        <v>10</v>
      </c>
      <c r="L230" s="2" t="s">
        <v>5</v>
      </c>
      <c r="M230" s="2" t="s">
        <v>11</v>
      </c>
      <c r="N230" s="2" t="s">
        <v>12</v>
      </c>
      <c r="O230" s="2" t="s">
        <v>13</v>
      </c>
      <c r="P230" s="2" t="s">
        <v>14</v>
      </c>
      <c r="Q230" t="s">
        <v>15</v>
      </c>
      <c r="R230" t="s">
        <v>16</v>
      </c>
      <c r="S230" t="s">
        <v>17</v>
      </c>
      <c r="T230" t="s">
        <v>18</v>
      </c>
    </row>
    <row r="231" spans="11:20">
      <c r="K231" t="s">
        <v>20</v>
      </c>
      <c r="L231" s="21">
        <v>30</v>
      </c>
      <c r="M231" s="21">
        <v>65</v>
      </c>
      <c r="N231" s="21">
        <v>85</v>
      </c>
      <c r="O231" s="21">
        <v>40</v>
      </c>
      <c r="P231" s="21">
        <v>60</v>
      </c>
      <c r="Q231">
        <f t="shared" ref="Q231:Q266" si="38">P231-L231</f>
        <v>30</v>
      </c>
      <c r="R231">
        <f t="shared" ref="R231:R266" si="39">ABS(Q231)</f>
        <v>30</v>
      </c>
      <c r="S231">
        <f>IF(Q231=0,"",_xlfn.RANK.AVG(R231,$R$231:$R$266,1))</f>
        <v>12.5</v>
      </c>
      <c r="T231">
        <f t="shared" ref="T231:T266" si="40">IF(Q231&gt;0,S231,0)</f>
        <v>12.5</v>
      </c>
    </row>
    <row r="232" spans="11:20">
      <c r="K232" t="s">
        <v>21</v>
      </c>
      <c r="L232" s="21">
        <v>20</v>
      </c>
      <c r="M232" s="21">
        <v>30</v>
      </c>
      <c r="N232" s="21">
        <v>85</v>
      </c>
      <c r="O232" s="21">
        <v>20</v>
      </c>
      <c r="P232" s="21">
        <v>60</v>
      </c>
      <c r="Q232">
        <f t="shared" si="38"/>
        <v>40</v>
      </c>
      <c r="R232">
        <f t="shared" si="39"/>
        <v>40</v>
      </c>
      <c r="S232">
        <f t="shared" ref="S232:S266" si="41">IF(Q232=0,"",_xlfn.RANK.AVG(R232,$R$231:$R$266,1))</f>
        <v>21.5</v>
      </c>
      <c r="T232">
        <f t="shared" si="40"/>
        <v>21.5</v>
      </c>
    </row>
    <row r="233" spans="11:20">
      <c r="K233" t="s">
        <v>22</v>
      </c>
      <c r="L233" s="21">
        <v>40</v>
      </c>
      <c r="M233" s="21">
        <v>20</v>
      </c>
      <c r="N233" s="21">
        <v>80</v>
      </c>
      <c r="O233" s="21">
        <v>20</v>
      </c>
      <c r="P233" s="21">
        <v>40</v>
      </c>
      <c r="Q233">
        <f t="shared" si="38"/>
        <v>0</v>
      </c>
      <c r="R233">
        <f t="shared" si="39"/>
        <v>0</v>
      </c>
      <c r="S233" t="str">
        <f t="shared" si="41"/>
        <v/>
      </c>
      <c r="T233">
        <f t="shared" si="40"/>
        <v>0</v>
      </c>
    </row>
    <row r="234" spans="11:20">
      <c r="K234" t="s">
        <v>23</v>
      </c>
      <c r="L234" s="21">
        <v>40</v>
      </c>
      <c r="M234" s="21">
        <v>40</v>
      </c>
      <c r="N234" s="21">
        <v>100</v>
      </c>
      <c r="O234" s="21">
        <v>60</v>
      </c>
      <c r="P234" s="21">
        <v>70</v>
      </c>
      <c r="Q234">
        <f t="shared" si="38"/>
        <v>30</v>
      </c>
      <c r="R234">
        <f t="shared" si="39"/>
        <v>30</v>
      </c>
      <c r="S234">
        <f t="shared" si="41"/>
        <v>12.5</v>
      </c>
      <c r="T234">
        <f t="shared" si="40"/>
        <v>12.5</v>
      </c>
    </row>
    <row r="235" spans="11:20">
      <c r="K235" t="s">
        <v>24</v>
      </c>
      <c r="L235" s="21">
        <v>30</v>
      </c>
      <c r="M235" s="21">
        <v>70</v>
      </c>
      <c r="N235" s="21">
        <v>90</v>
      </c>
      <c r="O235" s="21">
        <v>40</v>
      </c>
      <c r="P235" s="21">
        <v>60</v>
      </c>
      <c r="Q235">
        <f t="shared" si="38"/>
        <v>30</v>
      </c>
      <c r="R235">
        <f t="shared" si="39"/>
        <v>30</v>
      </c>
      <c r="S235">
        <f t="shared" si="41"/>
        <v>12.5</v>
      </c>
      <c r="T235">
        <f t="shared" si="40"/>
        <v>12.5</v>
      </c>
    </row>
    <row r="236" spans="11:20">
      <c r="K236" t="s">
        <v>25</v>
      </c>
      <c r="L236" s="21">
        <v>30</v>
      </c>
      <c r="M236" s="21">
        <v>60</v>
      </c>
      <c r="N236" s="21">
        <v>90</v>
      </c>
      <c r="O236" s="21">
        <v>40</v>
      </c>
      <c r="P236" s="21">
        <v>70</v>
      </c>
      <c r="Q236">
        <f t="shared" si="38"/>
        <v>40</v>
      </c>
      <c r="R236">
        <f t="shared" si="39"/>
        <v>40</v>
      </c>
      <c r="S236">
        <f t="shared" si="41"/>
        <v>21.5</v>
      </c>
      <c r="T236">
        <f t="shared" si="40"/>
        <v>21.5</v>
      </c>
    </row>
    <row r="237" spans="11:20">
      <c r="K237" t="s">
        <v>26</v>
      </c>
      <c r="L237" s="21">
        <v>30</v>
      </c>
      <c r="M237" s="21">
        <v>60</v>
      </c>
      <c r="N237" s="21">
        <v>100</v>
      </c>
      <c r="O237" s="21">
        <v>40</v>
      </c>
      <c r="P237" s="21">
        <v>60</v>
      </c>
      <c r="Q237">
        <f t="shared" si="38"/>
        <v>30</v>
      </c>
      <c r="R237">
        <f t="shared" si="39"/>
        <v>30</v>
      </c>
      <c r="S237">
        <f t="shared" si="41"/>
        <v>12.5</v>
      </c>
      <c r="T237">
        <f t="shared" si="40"/>
        <v>12.5</v>
      </c>
    </row>
    <row r="238" spans="11:20">
      <c r="K238" t="s">
        <v>27</v>
      </c>
      <c r="L238" s="21">
        <v>30</v>
      </c>
      <c r="M238" s="21">
        <v>65</v>
      </c>
      <c r="N238" s="21">
        <v>90</v>
      </c>
      <c r="O238" s="21">
        <v>60</v>
      </c>
      <c r="P238" s="21">
        <v>60</v>
      </c>
      <c r="Q238">
        <f t="shared" si="38"/>
        <v>30</v>
      </c>
      <c r="R238">
        <f t="shared" si="39"/>
        <v>30</v>
      </c>
      <c r="S238">
        <f t="shared" si="41"/>
        <v>12.5</v>
      </c>
      <c r="T238">
        <f t="shared" si="40"/>
        <v>12.5</v>
      </c>
    </row>
    <row r="239" spans="11:20">
      <c r="K239" t="s">
        <v>28</v>
      </c>
      <c r="L239" s="21">
        <v>30</v>
      </c>
      <c r="M239" s="21">
        <v>70</v>
      </c>
      <c r="N239" s="21">
        <v>85</v>
      </c>
      <c r="O239" s="21">
        <v>50</v>
      </c>
      <c r="P239" s="21">
        <v>75</v>
      </c>
      <c r="Q239">
        <f t="shared" si="38"/>
        <v>45</v>
      </c>
      <c r="R239">
        <f t="shared" si="39"/>
        <v>45</v>
      </c>
      <c r="S239">
        <f t="shared" si="41"/>
        <v>26</v>
      </c>
      <c r="T239">
        <f t="shared" si="40"/>
        <v>26</v>
      </c>
    </row>
    <row r="240" spans="11:20">
      <c r="K240" t="s">
        <v>29</v>
      </c>
      <c r="L240" s="21">
        <v>0</v>
      </c>
      <c r="M240" s="21">
        <v>40</v>
      </c>
      <c r="N240" s="21">
        <v>80</v>
      </c>
      <c r="O240" s="21">
        <v>10</v>
      </c>
      <c r="P240" s="21">
        <v>70</v>
      </c>
      <c r="Q240">
        <f t="shared" si="38"/>
        <v>70</v>
      </c>
      <c r="R240">
        <f t="shared" si="39"/>
        <v>70</v>
      </c>
      <c r="S240">
        <f t="shared" si="41"/>
        <v>35</v>
      </c>
      <c r="T240">
        <f t="shared" si="40"/>
        <v>35</v>
      </c>
    </row>
    <row r="241" spans="11:20">
      <c r="K241" t="s">
        <v>30</v>
      </c>
      <c r="L241" s="21">
        <v>40</v>
      </c>
      <c r="M241" s="21">
        <v>70</v>
      </c>
      <c r="N241" s="21">
        <v>90</v>
      </c>
      <c r="O241" s="21">
        <v>40</v>
      </c>
      <c r="P241" s="21">
        <v>70</v>
      </c>
      <c r="Q241">
        <f t="shared" si="38"/>
        <v>30</v>
      </c>
      <c r="R241">
        <f t="shared" si="39"/>
        <v>30</v>
      </c>
      <c r="S241">
        <f t="shared" si="41"/>
        <v>12.5</v>
      </c>
      <c r="T241">
        <f t="shared" si="40"/>
        <v>12.5</v>
      </c>
    </row>
    <row r="242" spans="11:20">
      <c r="K242" t="s">
        <v>31</v>
      </c>
      <c r="L242" s="21">
        <v>10</v>
      </c>
      <c r="M242" s="21">
        <v>40</v>
      </c>
      <c r="N242" s="21">
        <v>90</v>
      </c>
      <c r="O242" s="21">
        <v>70</v>
      </c>
      <c r="P242" s="21">
        <v>60</v>
      </c>
      <c r="Q242">
        <f t="shared" si="38"/>
        <v>50</v>
      </c>
      <c r="R242">
        <f t="shared" si="39"/>
        <v>50</v>
      </c>
      <c r="S242">
        <f t="shared" si="41"/>
        <v>29</v>
      </c>
      <c r="T242">
        <f t="shared" si="40"/>
        <v>29</v>
      </c>
    </row>
    <row r="243" spans="11:20">
      <c r="K243" t="s">
        <v>32</v>
      </c>
      <c r="L243" s="21">
        <v>30</v>
      </c>
      <c r="M243" s="21">
        <v>40</v>
      </c>
      <c r="N243" s="21">
        <v>90</v>
      </c>
      <c r="O243" s="21">
        <v>60</v>
      </c>
      <c r="P243" s="21">
        <v>60</v>
      </c>
      <c r="Q243">
        <f t="shared" si="38"/>
        <v>30</v>
      </c>
      <c r="R243">
        <f t="shared" si="39"/>
        <v>30</v>
      </c>
      <c r="S243">
        <f t="shared" si="41"/>
        <v>12.5</v>
      </c>
      <c r="T243">
        <f t="shared" si="40"/>
        <v>12.5</v>
      </c>
    </row>
    <row r="244" spans="11:20">
      <c r="K244" t="s">
        <v>33</v>
      </c>
      <c r="L244" s="21">
        <v>30</v>
      </c>
      <c r="M244" s="21">
        <v>40</v>
      </c>
      <c r="N244" s="21">
        <v>70</v>
      </c>
      <c r="O244" s="21">
        <v>40</v>
      </c>
      <c r="P244" s="21">
        <v>70</v>
      </c>
      <c r="Q244">
        <f t="shared" si="38"/>
        <v>40</v>
      </c>
      <c r="R244">
        <f t="shared" si="39"/>
        <v>40</v>
      </c>
      <c r="S244">
        <f t="shared" si="41"/>
        <v>21.5</v>
      </c>
      <c r="T244">
        <f t="shared" si="40"/>
        <v>21.5</v>
      </c>
    </row>
    <row r="245" spans="11:20">
      <c r="K245" t="s">
        <v>34</v>
      </c>
      <c r="L245" s="21">
        <v>30</v>
      </c>
      <c r="M245" s="21">
        <v>65</v>
      </c>
      <c r="N245" s="21">
        <v>80</v>
      </c>
      <c r="O245" s="21">
        <v>40</v>
      </c>
      <c r="P245" s="21">
        <v>75</v>
      </c>
      <c r="Q245">
        <f t="shared" si="38"/>
        <v>45</v>
      </c>
      <c r="R245">
        <f t="shared" si="39"/>
        <v>45</v>
      </c>
      <c r="S245">
        <f t="shared" si="41"/>
        <v>26</v>
      </c>
      <c r="T245">
        <f t="shared" si="40"/>
        <v>26</v>
      </c>
    </row>
    <row r="246" spans="11:20">
      <c r="K246" t="s">
        <v>35</v>
      </c>
      <c r="L246" s="21">
        <v>10</v>
      </c>
      <c r="M246" s="21">
        <v>30</v>
      </c>
      <c r="N246" s="21">
        <v>90</v>
      </c>
      <c r="O246" s="21">
        <v>40</v>
      </c>
      <c r="P246" s="21">
        <v>60</v>
      </c>
      <c r="Q246">
        <f t="shared" si="38"/>
        <v>50</v>
      </c>
      <c r="R246">
        <f t="shared" si="39"/>
        <v>50</v>
      </c>
      <c r="S246">
        <f t="shared" si="41"/>
        <v>29</v>
      </c>
      <c r="T246">
        <f t="shared" si="40"/>
        <v>29</v>
      </c>
    </row>
    <row r="247" spans="11:20">
      <c r="K247" t="s">
        <v>36</v>
      </c>
      <c r="L247" s="21">
        <v>20</v>
      </c>
      <c r="M247" s="21">
        <v>30</v>
      </c>
      <c r="N247" s="21">
        <v>85</v>
      </c>
      <c r="O247" s="21">
        <v>20</v>
      </c>
      <c r="P247" s="21">
        <v>40</v>
      </c>
      <c r="Q247">
        <f t="shared" si="38"/>
        <v>20</v>
      </c>
      <c r="R247">
        <f t="shared" si="39"/>
        <v>20</v>
      </c>
      <c r="S247">
        <f t="shared" si="41"/>
        <v>4.5</v>
      </c>
      <c r="T247">
        <f t="shared" si="40"/>
        <v>4.5</v>
      </c>
    </row>
    <row r="248" spans="11:20">
      <c r="K248" t="s">
        <v>37</v>
      </c>
      <c r="L248" s="21">
        <v>30</v>
      </c>
      <c r="M248" s="21">
        <v>75</v>
      </c>
      <c r="N248" s="21">
        <v>90</v>
      </c>
      <c r="O248" s="21">
        <v>40</v>
      </c>
      <c r="P248" s="21">
        <v>60</v>
      </c>
      <c r="Q248">
        <f t="shared" si="38"/>
        <v>30</v>
      </c>
      <c r="R248">
        <f t="shared" si="39"/>
        <v>30</v>
      </c>
      <c r="S248">
        <f t="shared" si="41"/>
        <v>12.5</v>
      </c>
      <c r="T248">
        <f t="shared" si="40"/>
        <v>12.5</v>
      </c>
    </row>
    <row r="249" spans="11:20">
      <c r="K249" t="s">
        <v>38</v>
      </c>
      <c r="L249" s="21">
        <v>40</v>
      </c>
      <c r="M249" s="21">
        <v>70</v>
      </c>
      <c r="N249" s="21">
        <v>100</v>
      </c>
      <c r="O249" s="21">
        <v>40</v>
      </c>
      <c r="P249" s="21">
        <v>85</v>
      </c>
      <c r="Q249">
        <f t="shared" si="38"/>
        <v>45</v>
      </c>
      <c r="R249">
        <f t="shared" si="39"/>
        <v>45</v>
      </c>
      <c r="S249">
        <f t="shared" si="41"/>
        <v>26</v>
      </c>
      <c r="T249">
        <f t="shared" si="40"/>
        <v>26</v>
      </c>
    </row>
    <row r="250" spans="11:20">
      <c r="K250" t="s">
        <v>39</v>
      </c>
      <c r="L250" s="21">
        <v>10</v>
      </c>
      <c r="M250" s="21">
        <v>20</v>
      </c>
      <c r="N250" s="21">
        <v>90</v>
      </c>
      <c r="O250" s="21">
        <v>60</v>
      </c>
      <c r="P250" s="21">
        <v>60</v>
      </c>
      <c r="Q250">
        <f t="shared" si="38"/>
        <v>50</v>
      </c>
      <c r="R250">
        <f t="shared" si="39"/>
        <v>50</v>
      </c>
      <c r="S250">
        <f t="shared" si="41"/>
        <v>29</v>
      </c>
      <c r="T250">
        <f t="shared" si="40"/>
        <v>29</v>
      </c>
    </row>
    <row r="251" spans="11:20">
      <c r="K251" t="s">
        <v>40</v>
      </c>
      <c r="L251" s="21">
        <v>30</v>
      </c>
      <c r="M251" s="21">
        <v>40</v>
      </c>
      <c r="N251" s="21">
        <v>90</v>
      </c>
      <c r="O251" s="21">
        <v>40</v>
      </c>
      <c r="P251" s="21">
        <v>60</v>
      </c>
      <c r="Q251">
        <f t="shared" si="38"/>
        <v>30</v>
      </c>
      <c r="R251">
        <f t="shared" si="39"/>
        <v>30</v>
      </c>
      <c r="S251">
        <f t="shared" si="41"/>
        <v>12.5</v>
      </c>
      <c r="T251">
        <f t="shared" si="40"/>
        <v>12.5</v>
      </c>
    </row>
    <row r="252" spans="11:20">
      <c r="K252" t="s">
        <v>41</v>
      </c>
      <c r="L252" s="21">
        <v>30</v>
      </c>
      <c r="M252" s="21">
        <v>60</v>
      </c>
      <c r="N252" s="21">
        <v>80</v>
      </c>
      <c r="O252" s="21">
        <v>10</v>
      </c>
      <c r="P252" s="21">
        <v>50</v>
      </c>
      <c r="Q252">
        <f t="shared" si="38"/>
        <v>20</v>
      </c>
      <c r="R252">
        <f t="shared" si="39"/>
        <v>20</v>
      </c>
      <c r="S252">
        <f t="shared" si="41"/>
        <v>4.5</v>
      </c>
      <c r="T252">
        <f t="shared" si="40"/>
        <v>4.5</v>
      </c>
    </row>
    <row r="253" spans="11:20">
      <c r="K253" t="s">
        <v>42</v>
      </c>
      <c r="L253" s="21">
        <v>30</v>
      </c>
      <c r="M253" s="21">
        <v>60</v>
      </c>
      <c r="N253" s="21">
        <v>80</v>
      </c>
      <c r="O253" s="21">
        <v>40</v>
      </c>
      <c r="P253" s="21">
        <v>60</v>
      </c>
      <c r="Q253">
        <f t="shared" si="38"/>
        <v>30</v>
      </c>
      <c r="R253">
        <f t="shared" si="39"/>
        <v>30</v>
      </c>
      <c r="S253">
        <f t="shared" si="41"/>
        <v>12.5</v>
      </c>
      <c r="T253">
        <f t="shared" si="40"/>
        <v>12.5</v>
      </c>
    </row>
    <row r="254" spans="11:20">
      <c r="K254" t="s">
        <v>43</v>
      </c>
      <c r="L254" s="21">
        <v>20</v>
      </c>
      <c r="M254" s="21">
        <v>0</v>
      </c>
      <c r="N254" s="21">
        <v>80</v>
      </c>
      <c r="O254" s="21">
        <v>50</v>
      </c>
      <c r="P254" s="21">
        <v>60</v>
      </c>
      <c r="Q254">
        <f t="shared" si="38"/>
        <v>40</v>
      </c>
      <c r="R254">
        <f t="shared" si="39"/>
        <v>40</v>
      </c>
      <c r="S254">
        <f t="shared" si="41"/>
        <v>21.5</v>
      </c>
      <c r="T254">
        <f t="shared" si="40"/>
        <v>21.5</v>
      </c>
    </row>
    <row r="255" spans="11:20">
      <c r="K255" t="s">
        <v>44</v>
      </c>
      <c r="L255" s="21">
        <v>40</v>
      </c>
      <c r="M255" s="21">
        <v>80</v>
      </c>
      <c r="N255" s="21">
        <v>90</v>
      </c>
      <c r="O255" s="21">
        <v>40</v>
      </c>
      <c r="P255" s="21">
        <v>70</v>
      </c>
      <c r="Q255">
        <f t="shared" si="38"/>
        <v>30</v>
      </c>
      <c r="R255">
        <f t="shared" si="39"/>
        <v>30</v>
      </c>
      <c r="S255">
        <f t="shared" si="41"/>
        <v>12.5</v>
      </c>
      <c r="T255">
        <f t="shared" si="40"/>
        <v>12.5</v>
      </c>
    </row>
    <row r="256" spans="11:20">
      <c r="K256" t="s">
        <v>46</v>
      </c>
      <c r="L256" s="21">
        <v>0</v>
      </c>
      <c r="M256" s="21">
        <v>0</v>
      </c>
      <c r="N256" s="21">
        <v>90</v>
      </c>
      <c r="O256" s="21">
        <v>40</v>
      </c>
      <c r="P256" s="21">
        <v>60</v>
      </c>
      <c r="Q256">
        <f t="shared" si="38"/>
        <v>60</v>
      </c>
      <c r="R256">
        <f t="shared" si="39"/>
        <v>60</v>
      </c>
      <c r="S256">
        <f t="shared" si="41"/>
        <v>32</v>
      </c>
      <c r="T256">
        <f t="shared" si="40"/>
        <v>32</v>
      </c>
    </row>
    <row r="257" spans="11:20">
      <c r="K257" t="s">
        <v>45</v>
      </c>
      <c r="L257" s="21">
        <v>10</v>
      </c>
      <c r="M257" s="21">
        <v>20</v>
      </c>
      <c r="N257" s="21">
        <v>100</v>
      </c>
      <c r="O257" s="21">
        <v>20</v>
      </c>
      <c r="P257" s="21">
        <v>75</v>
      </c>
      <c r="Q257">
        <f t="shared" si="38"/>
        <v>65</v>
      </c>
      <c r="R257">
        <f t="shared" si="39"/>
        <v>65</v>
      </c>
      <c r="S257">
        <f t="shared" si="41"/>
        <v>34</v>
      </c>
      <c r="T257">
        <f t="shared" si="40"/>
        <v>34</v>
      </c>
    </row>
    <row r="258" spans="11:20">
      <c r="K258" t="s">
        <v>47</v>
      </c>
      <c r="L258" s="21">
        <v>10</v>
      </c>
      <c r="M258" s="21">
        <v>30</v>
      </c>
      <c r="N258" s="21">
        <v>90</v>
      </c>
      <c r="O258" s="21">
        <v>40</v>
      </c>
      <c r="P258" s="21">
        <v>70</v>
      </c>
      <c r="Q258">
        <f t="shared" si="38"/>
        <v>60</v>
      </c>
      <c r="R258">
        <f t="shared" si="39"/>
        <v>60</v>
      </c>
      <c r="S258">
        <f t="shared" si="41"/>
        <v>32</v>
      </c>
      <c r="T258">
        <f t="shared" si="40"/>
        <v>32</v>
      </c>
    </row>
    <row r="259" spans="11:20">
      <c r="K259" t="s">
        <v>48</v>
      </c>
      <c r="L259" s="21">
        <v>30</v>
      </c>
      <c r="M259" s="21">
        <v>60</v>
      </c>
      <c r="N259" s="21">
        <v>90</v>
      </c>
      <c r="O259" s="21">
        <v>40</v>
      </c>
      <c r="P259" s="21">
        <v>40</v>
      </c>
      <c r="Q259">
        <f t="shared" si="38"/>
        <v>10</v>
      </c>
      <c r="R259">
        <f t="shared" si="39"/>
        <v>10</v>
      </c>
      <c r="S259">
        <f t="shared" si="41"/>
        <v>2</v>
      </c>
      <c r="T259">
        <f t="shared" si="40"/>
        <v>2</v>
      </c>
    </row>
    <row r="260" spans="11:20">
      <c r="K260" t="s">
        <v>49</v>
      </c>
      <c r="L260" s="21">
        <v>30</v>
      </c>
      <c r="M260" s="21">
        <v>60</v>
      </c>
      <c r="N260" s="21">
        <v>100</v>
      </c>
      <c r="O260" s="21">
        <v>20</v>
      </c>
      <c r="P260" s="21">
        <v>70</v>
      </c>
      <c r="Q260">
        <f t="shared" si="38"/>
        <v>40</v>
      </c>
      <c r="R260">
        <f t="shared" si="39"/>
        <v>40</v>
      </c>
      <c r="S260">
        <f t="shared" si="41"/>
        <v>21.5</v>
      </c>
      <c r="T260">
        <f t="shared" si="40"/>
        <v>21.5</v>
      </c>
    </row>
    <row r="261" spans="11:20">
      <c r="K261" t="s">
        <v>50</v>
      </c>
      <c r="L261" s="21">
        <v>40</v>
      </c>
      <c r="M261" s="21">
        <v>75</v>
      </c>
      <c r="N261" s="21">
        <v>90</v>
      </c>
      <c r="O261" s="21">
        <v>60</v>
      </c>
      <c r="P261" s="21">
        <v>60</v>
      </c>
      <c r="Q261">
        <f t="shared" si="38"/>
        <v>20</v>
      </c>
      <c r="R261">
        <f t="shared" si="39"/>
        <v>20</v>
      </c>
      <c r="S261">
        <f t="shared" si="41"/>
        <v>4.5</v>
      </c>
      <c r="T261">
        <f t="shared" si="40"/>
        <v>4.5</v>
      </c>
    </row>
    <row r="262" spans="11:20">
      <c r="K262" t="s">
        <v>51</v>
      </c>
      <c r="L262" s="21">
        <v>40</v>
      </c>
      <c r="M262" s="21">
        <v>40</v>
      </c>
      <c r="N262" s="21">
        <v>90</v>
      </c>
      <c r="O262" s="21">
        <v>60</v>
      </c>
      <c r="P262" s="21">
        <v>70</v>
      </c>
      <c r="Q262">
        <f t="shared" si="38"/>
        <v>30</v>
      </c>
      <c r="R262">
        <f t="shared" si="39"/>
        <v>30</v>
      </c>
      <c r="S262">
        <f t="shared" si="41"/>
        <v>12.5</v>
      </c>
      <c r="T262">
        <f t="shared" si="40"/>
        <v>12.5</v>
      </c>
    </row>
    <row r="263" spans="11:20">
      <c r="K263" t="s">
        <v>54</v>
      </c>
      <c r="L263" s="21">
        <v>0</v>
      </c>
      <c r="M263" s="21">
        <v>30</v>
      </c>
      <c r="N263" s="21">
        <v>90</v>
      </c>
      <c r="O263" s="21">
        <v>30</v>
      </c>
      <c r="P263" s="21">
        <v>75</v>
      </c>
      <c r="Q263">
        <f t="shared" si="38"/>
        <v>75</v>
      </c>
      <c r="R263">
        <f t="shared" si="39"/>
        <v>75</v>
      </c>
      <c r="S263">
        <f t="shared" si="41"/>
        <v>36</v>
      </c>
      <c r="T263">
        <f t="shared" si="40"/>
        <v>36</v>
      </c>
    </row>
    <row r="264" spans="11:20">
      <c r="K264" t="s">
        <v>52</v>
      </c>
      <c r="L264" s="21">
        <v>10</v>
      </c>
      <c r="M264" s="21">
        <v>40</v>
      </c>
      <c r="N264" s="21">
        <v>85</v>
      </c>
      <c r="O264" s="21">
        <v>20</v>
      </c>
      <c r="P264" s="21">
        <v>70</v>
      </c>
      <c r="Q264">
        <f t="shared" si="38"/>
        <v>60</v>
      </c>
      <c r="R264">
        <f t="shared" si="39"/>
        <v>60</v>
      </c>
      <c r="S264">
        <f t="shared" si="41"/>
        <v>32</v>
      </c>
      <c r="T264">
        <f t="shared" si="40"/>
        <v>32</v>
      </c>
    </row>
    <row r="265" spans="11:20">
      <c r="K265" t="s">
        <v>53</v>
      </c>
      <c r="L265" s="21">
        <v>30</v>
      </c>
      <c r="M265" s="21">
        <v>60</v>
      </c>
      <c r="N265" s="21">
        <v>90</v>
      </c>
      <c r="O265" s="21">
        <v>60</v>
      </c>
      <c r="P265" s="21">
        <v>70</v>
      </c>
      <c r="Q265">
        <f t="shared" si="38"/>
        <v>40</v>
      </c>
      <c r="R265">
        <f t="shared" si="39"/>
        <v>40</v>
      </c>
      <c r="S265">
        <f t="shared" si="41"/>
        <v>21.5</v>
      </c>
      <c r="T265">
        <f t="shared" si="40"/>
        <v>21.5</v>
      </c>
    </row>
    <row r="266" spans="11:20">
      <c r="K266" t="s">
        <v>55</v>
      </c>
      <c r="L266" s="21">
        <v>20</v>
      </c>
      <c r="M266" s="21">
        <v>40</v>
      </c>
      <c r="N266" s="21">
        <v>100</v>
      </c>
      <c r="O266" s="21">
        <v>40</v>
      </c>
      <c r="P266" s="21">
        <v>40</v>
      </c>
      <c r="Q266">
        <f t="shared" si="38"/>
        <v>20</v>
      </c>
      <c r="R266">
        <f t="shared" si="39"/>
        <v>20</v>
      </c>
      <c r="S266">
        <f t="shared" si="41"/>
        <v>4.5</v>
      </c>
      <c r="T266">
        <f t="shared" si="40"/>
        <v>4.5</v>
      </c>
    </row>
    <row r="267" spans="11:20">
      <c r="K267" t="s">
        <v>56</v>
      </c>
      <c r="L267" s="16">
        <f t="shared" ref="L267:P267" si="42">AVERAGE(L231:L266)</f>
        <v>25</v>
      </c>
      <c r="M267" s="16">
        <f t="shared" si="42"/>
        <v>47.0833333333333</v>
      </c>
      <c r="N267" s="16">
        <f t="shared" si="42"/>
        <v>88.75</v>
      </c>
      <c r="O267" s="16">
        <f t="shared" si="42"/>
        <v>40</v>
      </c>
      <c r="P267" s="16">
        <f t="shared" si="42"/>
        <v>62.9166666666667</v>
      </c>
      <c r="T267">
        <f>SUM(T231:T266)</f>
        <v>665</v>
      </c>
    </row>
    <row r="268" spans="11:20">
      <c r="K268" t="s">
        <v>57</v>
      </c>
      <c r="L268" s="16">
        <f t="shared" ref="L268:P268" si="43">_xlfn.STDEV.S(L231:L266)</f>
        <v>12.3056316956332</v>
      </c>
      <c r="M268" s="16">
        <f t="shared" si="43"/>
        <v>20.9889426671692</v>
      </c>
      <c r="N268" s="16">
        <f t="shared" si="43"/>
        <v>6.90496715622684</v>
      </c>
      <c r="O268" s="16">
        <f t="shared" si="43"/>
        <v>15.3063945554044</v>
      </c>
      <c r="P268" s="16">
        <f t="shared" si="43"/>
        <v>10.715476124346</v>
      </c>
    </row>
    <row r="269" spans="11:20">
      <c r="K269" t="s">
        <v>58</v>
      </c>
      <c r="L269" s="48">
        <f t="shared" ref="L269:P269" si="44">_xlfn.STDEV.S(L231:L266)/AVERAGE(L231:L266)</f>
        <v>0.492225267825326</v>
      </c>
      <c r="M269" s="48">
        <f t="shared" si="44"/>
        <v>0.445782853108018</v>
      </c>
      <c r="N269" s="48">
        <f t="shared" si="44"/>
        <v>0.077802446830725</v>
      </c>
      <c r="O269" s="48">
        <f t="shared" si="44"/>
        <v>0.382659863885111</v>
      </c>
      <c r="P269" s="48">
        <f t="shared" si="44"/>
        <v>0.170312203300863</v>
      </c>
      <c r="Q269" s="10"/>
    </row>
    <row r="270" spans="11:20">
      <c r="K270" t="s">
        <v>59</v>
      </c>
      <c r="L270" s="10">
        <f>P267-L267</f>
        <v>37.9166666666667</v>
      </c>
      <c r="M270" s="10"/>
      <c r="N270" s="10"/>
      <c r="O270" s="10"/>
      <c r="P270" s="10"/>
      <c r="Q270" s="10"/>
    </row>
    <row r="271" spans="11:20">
      <c r="K271" t="s">
        <v>60</v>
      </c>
      <c r="L271" s="10">
        <f>AVERAGE(Q231:Q266)/(_xlfn.STDEV.S(Q231:Q266)/SQRT(COUNT(Q231:Q266)))</f>
        <v>13.8314941717481</v>
      </c>
      <c r="M271" s="10"/>
      <c r="N271" s="10"/>
      <c r="O271" s="10"/>
      <c r="P271" s="10"/>
      <c r="Q271" s="10"/>
    </row>
    <row r="272" spans="11:20">
      <c r="K272" t="s">
        <v>61</v>
      </c>
      <c r="L272" s="49" cm="1">
        <f t="array" ref="L272">TTEST(L231:L266,P231:P266,2,1)</f>
        <v>9.44130064837285e-16</v>
      </c>
      <c r="M272" s="10"/>
      <c r="N272" s="10"/>
      <c r="O272" s="10"/>
      <c r="P272" s="10"/>
      <c r="Q272" s="10"/>
    </row>
    <row r="273" spans="11:17">
      <c r="K273" t="s">
        <v>62</v>
      </c>
      <c r="L273" s="24">
        <f>AVERAGE(Q231:Q266)/_xlfn.STDEV.S(Q231:Q266)</f>
        <v>2.30524902862469</v>
      </c>
      <c r="M273" s="10"/>
      <c r="N273" s="10"/>
      <c r="O273" s="10"/>
      <c r="P273" s="10"/>
      <c r="Q273" s="10"/>
    </row>
    <row r="274" spans="11:17">
      <c r="K274" t="s">
        <v>63</v>
      </c>
      <c r="L274">
        <f>COUNT(Q231:Q266)</f>
        <v>36</v>
      </c>
      <c r="M274" s="10"/>
      <c r="N274" s="10"/>
      <c r="O274" s="10"/>
      <c r="P274" s="10"/>
      <c r="Q274" s="10"/>
    </row>
    <row r="275" spans="11:17">
      <c r="K275" t="s">
        <v>64</v>
      </c>
      <c r="L275">
        <f>TINV(0.05,L274-1)</f>
        <v>2.03010792825034</v>
      </c>
      <c r="M275" s="10"/>
      <c r="N275" s="10"/>
      <c r="O275" s="10"/>
      <c r="P275" s="10"/>
      <c r="Q275" s="10"/>
    </row>
    <row r="276" spans="11:17">
      <c r="K276" t="s">
        <v>65</v>
      </c>
      <c r="L276" s="50">
        <f>SQRT(1/L274+L273^2/(2*(L274-1)))</f>
        <v>0.322016360019609</v>
      </c>
      <c r="M276" s="10"/>
      <c r="N276" s="10"/>
      <c r="O276" s="10"/>
      <c r="P276" s="10"/>
      <c r="Q276" s="10"/>
    </row>
    <row r="277" spans="11:17">
      <c r="K277" t="s">
        <v>66</v>
      </c>
      <c r="L277" s="50">
        <f>L273-L275*L276</f>
        <v>1.65152106312256</v>
      </c>
      <c r="M277" s="10"/>
      <c r="N277" s="10"/>
      <c r="O277" s="10"/>
      <c r="P277" s="10"/>
      <c r="Q277" s="10"/>
    </row>
    <row r="278" spans="11:17">
      <c r="K278" t="s">
        <v>67</v>
      </c>
      <c r="L278" s="50">
        <f>L273+L276*L275</f>
        <v>2.95897699412681</v>
      </c>
      <c r="M278" s="10"/>
      <c r="N278" s="10"/>
      <c r="O278" s="10"/>
      <c r="P278" s="10"/>
      <c r="Q278" s="10"/>
    </row>
    <row r="279" spans="11:17">
      <c r="K279" t="s">
        <v>68</v>
      </c>
      <c r="L279" s="10">
        <f>MIN(T267:U267)</f>
        <v>665</v>
      </c>
      <c r="M279" s="10"/>
      <c r="N279" s="10"/>
      <c r="O279" s="10"/>
      <c r="P279" s="10"/>
      <c r="Q279" s="10"/>
    </row>
    <row r="280" spans="11:17">
      <c r="K280" t="s">
        <v>69</v>
      </c>
      <c r="L280" s="50"/>
      <c r="M280" s="51" t="s">
        <v>70</v>
      </c>
      <c r="N280" s="10"/>
      <c r="O280" s="10"/>
      <c r="P280" s="10"/>
      <c r="Q280" s="10"/>
    </row>
    <row r="281" spans="11:17">
      <c r="K281" t="s">
        <v>71</v>
      </c>
      <c r="L281" s="50"/>
      <c r="M281" s="51"/>
    </row>
  </sheetData>
  <mergeCells count="5">
    <mergeCell ref="M54:M55"/>
    <mergeCell ref="M109:M110"/>
    <mergeCell ref="M165:M166"/>
    <mergeCell ref="M223:M224"/>
    <mergeCell ref="M280:M28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zoomScale="175" zoomScaleNormal="175" topLeftCell="A15" workbookViewId="0">
      <selection activeCell="I35" sqref="I35"/>
    </sheetView>
  </sheetViews>
  <sheetFormatPr defaultColWidth="9" defaultRowHeight="13.5" outlineLevelCol="5"/>
  <cols>
    <col min="1" max="1" width="11.7083333333333" customWidth="1"/>
    <col min="2" max="6" width="12.625"/>
  </cols>
  <sheetData>
    <row r="1" ht="15" spans="1:6">
      <c r="A1" s="11" t="s">
        <v>73</v>
      </c>
    </row>
    <row r="4" spans="1:6">
      <c r="A4" s="2" t="s">
        <v>74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79</v>
      </c>
    </row>
    <row r="5" spans="1:6">
      <c r="A5" t="s">
        <v>20</v>
      </c>
      <c r="B5">
        <v>57.2</v>
      </c>
      <c r="C5">
        <v>79.6</v>
      </c>
      <c r="D5">
        <v>91.6</v>
      </c>
      <c r="E5">
        <v>79.4</v>
      </c>
      <c r="F5">
        <v>80.6</v>
      </c>
    </row>
    <row r="6" spans="1:6">
      <c r="A6" t="s">
        <v>21</v>
      </c>
      <c r="B6">
        <v>42.4</v>
      </c>
      <c r="C6">
        <v>59.6</v>
      </c>
      <c r="D6">
        <v>87.6</v>
      </c>
      <c r="E6">
        <v>63.6</v>
      </c>
      <c r="F6">
        <v>82.2</v>
      </c>
    </row>
    <row r="7" spans="1:6">
      <c r="A7" t="s">
        <v>22</v>
      </c>
      <c r="B7">
        <v>68</v>
      </c>
      <c r="C7">
        <v>51.2</v>
      </c>
      <c r="D7">
        <v>76.2</v>
      </c>
      <c r="E7">
        <v>45.2</v>
      </c>
      <c r="F7">
        <v>72</v>
      </c>
    </row>
    <row r="8" spans="1:6">
      <c r="A8" t="s">
        <v>23</v>
      </c>
      <c r="B8">
        <v>65.8</v>
      </c>
      <c r="C8">
        <v>78.8</v>
      </c>
      <c r="D8">
        <v>28</v>
      </c>
      <c r="E8">
        <v>82.2</v>
      </c>
      <c r="F8">
        <v>82.4</v>
      </c>
    </row>
    <row r="9" spans="1:6">
      <c r="A9" t="s">
        <v>24</v>
      </c>
      <c r="B9">
        <v>57.2</v>
      </c>
      <c r="C9">
        <v>81.2</v>
      </c>
      <c r="D9">
        <v>93.2</v>
      </c>
      <c r="E9">
        <v>72.2</v>
      </c>
      <c r="F9">
        <v>81.6</v>
      </c>
    </row>
    <row r="10" spans="1:6">
      <c r="A10" t="s">
        <v>25</v>
      </c>
      <c r="B10">
        <v>59.6</v>
      </c>
      <c r="C10">
        <v>78.4</v>
      </c>
      <c r="D10">
        <v>91.2</v>
      </c>
      <c r="E10">
        <v>74.2</v>
      </c>
      <c r="F10">
        <v>86</v>
      </c>
    </row>
    <row r="11" spans="1:6">
      <c r="A11" t="s">
        <v>26</v>
      </c>
      <c r="B11">
        <v>60.2</v>
      </c>
      <c r="C11">
        <v>79.2</v>
      </c>
      <c r="D11">
        <v>94</v>
      </c>
      <c r="E11">
        <v>74.2</v>
      </c>
      <c r="F11">
        <v>81.6</v>
      </c>
    </row>
    <row r="12" spans="1:6">
      <c r="A12" t="s">
        <v>27</v>
      </c>
      <c r="B12">
        <v>60.2</v>
      </c>
      <c r="C12">
        <v>79.6</v>
      </c>
      <c r="D12">
        <v>93.2</v>
      </c>
      <c r="E12">
        <v>83.4</v>
      </c>
      <c r="F12">
        <v>81.2</v>
      </c>
    </row>
    <row r="13" spans="1:6">
      <c r="A13" t="s">
        <v>28</v>
      </c>
      <c r="B13">
        <v>60.2</v>
      </c>
      <c r="C13">
        <v>85.6</v>
      </c>
      <c r="D13">
        <v>88.6</v>
      </c>
      <c r="E13">
        <v>78.2</v>
      </c>
      <c r="F13">
        <v>81.8</v>
      </c>
    </row>
    <row r="14" spans="1:6">
      <c r="A14" t="s">
        <v>29</v>
      </c>
      <c r="B14">
        <v>0</v>
      </c>
      <c r="C14">
        <v>77.8</v>
      </c>
      <c r="D14">
        <v>45.2</v>
      </c>
      <c r="E14">
        <v>18.8</v>
      </c>
      <c r="F14">
        <v>83</v>
      </c>
    </row>
    <row r="15" spans="1:6">
      <c r="A15" t="s">
        <v>30</v>
      </c>
      <c r="B15">
        <v>64.6</v>
      </c>
      <c r="C15">
        <v>83.6</v>
      </c>
      <c r="D15">
        <v>92.6</v>
      </c>
      <c r="E15">
        <v>72.2</v>
      </c>
      <c r="F15">
        <v>86</v>
      </c>
    </row>
    <row r="16" spans="1:6">
      <c r="A16" t="s">
        <v>31</v>
      </c>
      <c r="B16">
        <v>41.6</v>
      </c>
      <c r="C16">
        <v>77.8</v>
      </c>
      <c r="D16">
        <v>93.2</v>
      </c>
      <c r="E16">
        <v>88</v>
      </c>
      <c r="F16">
        <v>81.6</v>
      </c>
    </row>
    <row r="17" spans="1:6">
      <c r="A17" t="s">
        <v>32</v>
      </c>
      <c r="B17">
        <v>59.6</v>
      </c>
      <c r="C17">
        <v>77.2</v>
      </c>
      <c r="D17">
        <v>92.6</v>
      </c>
      <c r="E17">
        <v>85.8</v>
      </c>
      <c r="F17">
        <v>81.6</v>
      </c>
    </row>
    <row r="18" spans="1:6">
      <c r="A18" t="s">
        <v>33</v>
      </c>
      <c r="B18">
        <v>59.6</v>
      </c>
      <c r="C18">
        <v>78.8</v>
      </c>
      <c r="D18">
        <v>80.4</v>
      </c>
      <c r="E18">
        <v>67.4</v>
      </c>
      <c r="F18">
        <v>86</v>
      </c>
    </row>
    <row r="19" spans="1:6">
      <c r="A19" t="s">
        <v>34</v>
      </c>
      <c r="B19">
        <v>60.2</v>
      </c>
      <c r="C19">
        <v>79.6</v>
      </c>
      <c r="D19">
        <v>76.2</v>
      </c>
      <c r="E19">
        <v>69.2</v>
      </c>
      <c r="F19">
        <v>81.8</v>
      </c>
    </row>
    <row r="20" spans="1:6">
      <c r="A20" t="s">
        <v>35</v>
      </c>
      <c r="B20">
        <v>39.6</v>
      </c>
      <c r="C20">
        <v>62</v>
      </c>
      <c r="D20">
        <v>81.6</v>
      </c>
      <c r="E20">
        <v>67.4</v>
      </c>
      <c r="F20">
        <v>82.2</v>
      </c>
    </row>
    <row r="21" spans="1:6">
      <c r="A21" t="s">
        <v>36</v>
      </c>
      <c r="B21">
        <v>56.4</v>
      </c>
      <c r="C21">
        <v>66</v>
      </c>
      <c r="D21">
        <v>76.6</v>
      </c>
      <c r="E21">
        <v>45.2</v>
      </c>
      <c r="F21">
        <v>61</v>
      </c>
    </row>
    <row r="22" spans="1:6">
      <c r="A22" t="s">
        <v>37</v>
      </c>
      <c r="B22">
        <v>60.2</v>
      </c>
      <c r="C22">
        <v>85.4</v>
      </c>
      <c r="D22">
        <v>92.6</v>
      </c>
      <c r="E22">
        <v>69.2</v>
      </c>
      <c r="F22">
        <v>80.6</v>
      </c>
    </row>
    <row r="23" spans="1:6">
      <c r="A23" t="s">
        <v>38</v>
      </c>
      <c r="B23">
        <v>64.6</v>
      </c>
      <c r="C23">
        <v>83.6</v>
      </c>
      <c r="D23">
        <v>95</v>
      </c>
      <c r="E23">
        <v>74.2</v>
      </c>
      <c r="F23">
        <v>93.2</v>
      </c>
    </row>
    <row r="24" spans="1:6">
      <c r="A24" t="s">
        <v>39</v>
      </c>
      <c r="B24">
        <v>24.4</v>
      </c>
      <c r="C24">
        <v>43.6</v>
      </c>
      <c r="D24">
        <v>92.6</v>
      </c>
      <c r="E24">
        <v>81.2</v>
      </c>
      <c r="F24">
        <v>81.2</v>
      </c>
    </row>
    <row r="25" spans="1:6">
      <c r="A25" t="s">
        <v>40</v>
      </c>
      <c r="B25">
        <v>57.2</v>
      </c>
      <c r="C25">
        <v>77.8</v>
      </c>
      <c r="D25">
        <v>93.2</v>
      </c>
      <c r="E25">
        <v>80.6</v>
      </c>
      <c r="F25">
        <v>81.6</v>
      </c>
    </row>
    <row r="26" spans="1:6">
      <c r="A26" t="s">
        <v>41</v>
      </c>
      <c r="B26">
        <v>57.2</v>
      </c>
      <c r="C26">
        <v>80.6</v>
      </c>
      <c r="D26">
        <v>47.2</v>
      </c>
      <c r="E26">
        <v>40.4</v>
      </c>
      <c r="F26">
        <v>43.6</v>
      </c>
    </row>
    <row r="27" spans="1:6">
      <c r="A27" t="s">
        <v>42</v>
      </c>
      <c r="B27">
        <v>57.2</v>
      </c>
      <c r="C27">
        <v>79.4</v>
      </c>
      <c r="D27">
        <v>91.6</v>
      </c>
      <c r="E27">
        <v>75.4</v>
      </c>
      <c r="F27">
        <v>80.6</v>
      </c>
    </row>
    <row r="28" spans="1:6">
      <c r="A28" t="s">
        <v>43</v>
      </c>
      <c r="B28">
        <v>42.4</v>
      </c>
      <c r="C28">
        <v>9</v>
      </c>
      <c r="D28">
        <v>67.2</v>
      </c>
      <c r="E28">
        <v>76.2</v>
      </c>
      <c r="F28">
        <v>81.6</v>
      </c>
    </row>
    <row r="29" spans="1:6">
      <c r="A29" t="s">
        <v>44</v>
      </c>
      <c r="B29">
        <v>63.6</v>
      </c>
      <c r="C29">
        <v>91.6</v>
      </c>
      <c r="D29">
        <v>92.6</v>
      </c>
      <c r="E29">
        <v>76.4</v>
      </c>
      <c r="F29">
        <v>83</v>
      </c>
    </row>
    <row r="30" spans="1:6">
      <c r="A30" t="s">
        <v>46</v>
      </c>
      <c r="B30">
        <v>0</v>
      </c>
      <c r="C30">
        <v>9</v>
      </c>
      <c r="D30">
        <v>81.6</v>
      </c>
      <c r="E30">
        <v>69.2</v>
      </c>
      <c r="F30">
        <v>81.2</v>
      </c>
    </row>
    <row r="31" spans="1:6">
      <c r="A31" t="s">
        <v>45</v>
      </c>
      <c r="B31">
        <v>33.6</v>
      </c>
      <c r="C31">
        <v>55.2</v>
      </c>
      <c r="D31">
        <v>90</v>
      </c>
      <c r="E31">
        <v>57.6</v>
      </c>
      <c r="F31">
        <v>81.8</v>
      </c>
    </row>
    <row r="32" spans="1:6">
      <c r="A32" t="s">
        <v>47</v>
      </c>
      <c r="B32">
        <v>32.4</v>
      </c>
      <c r="C32">
        <v>32</v>
      </c>
      <c r="D32">
        <v>93.2</v>
      </c>
      <c r="E32">
        <v>72.4</v>
      </c>
      <c r="F32">
        <v>83</v>
      </c>
    </row>
    <row r="33" spans="1:6">
      <c r="A33" t="s">
        <v>48</v>
      </c>
      <c r="B33">
        <v>60.2</v>
      </c>
      <c r="C33">
        <v>79.2</v>
      </c>
      <c r="D33">
        <v>93.2</v>
      </c>
      <c r="E33">
        <v>69.2</v>
      </c>
      <c r="F33">
        <v>69</v>
      </c>
    </row>
    <row r="34" spans="1:6">
      <c r="A34" t="s">
        <v>49</v>
      </c>
      <c r="B34">
        <v>60.2</v>
      </c>
      <c r="C34">
        <v>80.4</v>
      </c>
      <c r="D34">
        <v>94</v>
      </c>
      <c r="E34">
        <v>49.6</v>
      </c>
      <c r="F34">
        <v>86</v>
      </c>
    </row>
    <row r="35" spans="1:6">
      <c r="A35" t="s">
        <v>50</v>
      </c>
      <c r="B35">
        <v>63</v>
      </c>
      <c r="C35">
        <v>85.4</v>
      </c>
      <c r="D35">
        <v>92.6</v>
      </c>
      <c r="E35">
        <v>81.2</v>
      </c>
      <c r="F35">
        <v>82.2</v>
      </c>
    </row>
    <row r="36" spans="1:6">
      <c r="A36" t="s">
        <v>51</v>
      </c>
      <c r="B36">
        <v>65.2</v>
      </c>
      <c r="C36">
        <v>72.4</v>
      </c>
      <c r="D36">
        <v>92.6</v>
      </c>
      <c r="E36">
        <v>81.2</v>
      </c>
      <c r="F36">
        <v>82.4</v>
      </c>
    </row>
    <row r="37" spans="1:6">
      <c r="A37" t="s">
        <v>54</v>
      </c>
      <c r="B37">
        <v>0</v>
      </c>
      <c r="C37">
        <v>62</v>
      </c>
      <c r="D37">
        <v>92.6</v>
      </c>
      <c r="E37">
        <v>62.4</v>
      </c>
      <c r="F37">
        <v>82.4</v>
      </c>
    </row>
    <row r="38" spans="1:6">
      <c r="A38" t="s">
        <v>52</v>
      </c>
      <c r="B38">
        <v>26.6</v>
      </c>
      <c r="C38">
        <v>66.8</v>
      </c>
      <c r="D38">
        <v>87.6</v>
      </c>
      <c r="E38">
        <v>49.6</v>
      </c>
      <c r="F38">
        <v>83</v>
      </c>
    </row>
    <row r="39" spans="1:6">
      <c r="A39" t="s">
        <v>53</v>
      </c>
      <c r="B39">
        <v>63.8</v>
      </c>
      <c r="C39">
        <v>79.2</v>
      </c>
      <c r="D39">
        <v>93.2</v>
      </c>
      <c r="E39">
        <v>81.2</v>
      </c>
      <c r="F39">
        <v>86</v>
      </c>
    </row>
    <row r="40" spans="1:6">
      <c r="A40" t="s">
        <v>55</v>
      </c>
      <c r="B40">
        <v>56.4</v>
      </c>
      <c r="C40">
        <v>77.8</v>
      </c>
      <c r="D40">
        <v>90</v>
      </c>
      <c r="E40">
        <v>69.2</v>
      </c>
      <c r="F40">
        <v>79</v>
      </c>
    </row>
    <row r="42" spans="1:6">
      <c r="A42" s="2" t="s">
        <v>80</v>
      </c>
      <c r="B42" s="2" t="s">
        <v>5</v>
      </c>
      <c r="C42" s="2" t="s">
        <v>11</v>
      </c>
      <c r="D42" s="2" t="s">
        <v>12</v>
      </c>
      <c r="E42" s="2" t="s">
        <v>13</v>
      </c>
      <c r="F42" s="2" t="s">
        <v>14</v>
      </c>
    </row>
    <row r="43" spans="1:6">
      <c r="A43" t="s">
        <v>57</v>
      </c>
      <c r="B43" s="13">
        <f>_xlfn.STDEV.S(B5:B40)</f>
        <v>19.0466720002659</v>
      </c>
      <c r="C43" s="13">
        <f>_xlfn.STDEV.S(C5:C40)</f>
        <v>19.6119367603524</v>
      </c>
      <c r="D43" s="13">
        <f>_xlfn.STDEV.S(D5:D40)</f>
        <v>15.3478057994341</v>
      </c>
      <c r="E43" s="13">
        <f>_xlfn.STDEV.S(E5:E40)</f>
        <v>14.7743525091116</v>
      </c>
      <c r="F43" s="13">
        <f>_xlfn.STDEV.S(F5:F40)</f>
        <v>8.13991146943004</v>
      </c>
    </row>
    <row r="44" spans="1:6">
      <c r="A44" t="s">
        <v>81</v>
      </c>
      <c r="B44" s="46">
        <f>_xlfn.STDEV.S(B5:B40)/AVERAGE(B5:B40)</f>
        <v>0.380806504503817</v>
      </c>
      <c r="C44" s="46">
        <f>_xlfn.STDEV.S(C5:C40)/AVERAGE(C5:C40)</f>
        <v>0.279460783475573</v>
      </c>
      <c r="D44" s="46">
        <f>_xlfn.STDEV.S(D5:D40)/AVERAGE(D5:D40)</f>
        <v>0.180881624035758</v>
      </c>
      <c r="E44" s="46">
        <f>_xlfn.STDEV.S(E5:E40)/AVERAGE(E5:E40)</f>
        <v>0.214207285673789</v>
      </c>
      <c r="F44" s="46">
        <f>_xlfn.STDEV.S(F5:F40)/AVERAGE(F5:F40)</f>
        <v>0.101256673427602</v>
      </c>
    </row>
    <row r="45" spans="1:6">
      <c r="A45" t="s">
        <v>82</v>
      </c>
      <c r="B45" s="30">
        <f>_xlfn.PERCENTILE.INC(B5:B40,0.75)-_xlfn.PERCENTILE.INC(B5:B40,0.25)</f>
        <v>18</v>
      </c>
      <c r="C45" s="30">
        <f>_xlfn.PERCENTILE.INC(C5:C40,0.75)-_xlfn.PERCENTILE.INC(C5:C40,0.25)</f>
        <v>14.8</v>
      </c>
      <c r="D45" s="30">
        <f>_xlfn.PERCENTILE.INC(D5:D40,0.75)-_xlfn.PERCENTILE.INC(D5:D40,0.25)</f>
        <v>11.6</v>
      </c>
      <c r="E45" s="30">
        <f>_xlfn.PERCENTILE.INC(E5:E40,0.75)-_xlfn.PERCENTILE.INC(E5:E40,0.25)</f>
        <v>13.25</v>
      </c>
      <c r="F45" s="30">
        <f>_xlfn.PERCENTILE.INC(F5:F40,0.75)-_xlfn.PERCENTILE.INC(F5:F40,0.25)</f>
        <v>1.8</v>
      </c>
    </row>
    <row r="46" spans="1:6">
      <c r="A46" t="s">
        <v>83</v>
      </c>
      <c r="B46" s="30">
        <f>_xlfn.PERCENTILE.INC(B5:B40,0.9)-_xlfn.PERCENTILE.INC(B5:B40,0.1)</f>
        <v>39.1</v>
      </c>
      <c r="C46" s="30">
        <f>_xlfn.PERCENTILE.INC(C5:C40,0.9)-_xlfn.PERCENTILE.INC(C5:C40,0.1)</f>
        <v>37.1</v>
      </c>
      <c r="D46" s="30">
        <f>_xlfn.PERCENTILE.INC(D5:D40,0.9)-_xlfn.PERCENTILE.INC(D5:D40,0.1)</f>
        <v>21.5</v>
      </c>
      <c r="E46" s="30">
        <f>_xlfn.PERCENTILE.INC(E5:E40,0.9)-_xlfn.PERCENTILE.INC(E5:E40,0.1)</f>
        <v>34.3</v>
      </c>
      <c r="F46" s="30">
        <f>_xlfn.PERCENTILE.INC(F5:F40,0.9)-_xlfn.PERCENTILE.INC(F5:F40,0.1)</f>
        <v>10.5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06"/>
  <sheetViews>
    <sheetView zoomScale="130" zoomScaleNormal="130" topLeftCell="A163" workbookViewId="0">
      <selection activeCell="K191" sqref="K191"/>
    </sheetView>
  </sheetViews>
  <sheetFormatPr defaultColWidth="9" defaultRowHeight="13.5"/>
  <cols>
    <col min="1" max="1" width="39.6833333333333" customWidth="1"/>
    <col min="2" max="2" width="13.125" customWidth="1"/>
    <col min="3" max="3" width="21.5583333333333" customWidth="1"/>
    <col min="4" max="4" width="13.75" customWidth="1"/>
    <col min="5" max="5" width="14.25" customWidth="1"/>
    <col min="6" max="6" width="12.625"/>
    <col min="11" max="11" width="38.1916666666667" customWidth="1"/>
    <col min="12" max="12" width="12.625"/>
    <col min="18" max="18" width="19.375" customWidth="1"/>
    <col min="19" max="19" width="10.7833333333333" customWidth="1"/>
    <col min="25" max="25" width="22.25" customWidth="1"/>
    <col min="26" max="26" width="15" customWidth="1"/>
    <col min="32" max="32" width="21.125" customWidth="1"/>
    <col min="33" max="33" width="13.825" customWidth="1"/>
  </cols>
  <sheetData>
    <row r="1" ht="15" spans="1:38">
      <c r="A1" s="11" t="s">
        <v>84</v>
      </c>
    </row>
    <row r="3" spans="1:38">
      <c r="A3" s="1" t="s">
        <v>85</v>
      </c>
      <c r="B3" s="1"/>
      <c r="C3" s="1"/>
      <c r="D3" s="1"/>
      <c r="E3" s="1"/>
      <c r="F3" s="1"/>
      <c r="K3" s="1" t="s">
        <v>6</v>
      </c>
      <c r="L3" s="1"/>
      <c r="M3" s="1"/>
      <c r="N3" s="1"/>
      <c r="O3" s="1"/>
      <c r="P3" s="1"/>
      <c r="R3" s="1" t="s">
        <v>7</v>
      </c>
      <c r="S3" s="1"/>
      <c r="T3" s="1"/>
      <c r="U3" s="1"/>
      <c r="V3" s="1"/>
      <c r="W3" s="1"/>
      <c r="Z3" s="1" t="s">
        <v>8</v>
      </c>
      <c r="AA3" s="1"/>
      <c r="AB3" s="1"/>
      <c r="AC3" s="1"/>
      <c r="AD3" s="1"/>
      <c r="AG3" t="s">
        <v>9</v>
      </c>
    </row>
    <row r="4" spans="1:38">
      <c r="A4" s="2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t="s">
        <v>92</v>
      </c>
      <c r="H4" t="s">
        <v>93</v>
      </c>
      <c r="J4" s="3" t="s">
        <v>94</v>
      </c>
      <c r="K4" s="2" t="s">
        <v>86</v>
      </c>
      <c r="L4" s="2" t="s">
        <v>87</v>
      </c>
      <c r="M4" s="2" t="s">
        <v>88</v>
      </c>
      <c r="N4" s="2" t="s">
        <v>89</v>
      </c>
      <c r="O4" s="2" t="s">
        <v>90</v>
      </c>
      <c r="P4" s="2" t="s">
        <v>91</v>
      </c>
      <c r="Q4" t="s">
        <v>95</v>
      </c>
      <c r="R4" s="2" t="s">
        <v>86</v>
      </c>
      <c r="S4" s="2" t="s">
        <v>87</v>
      </c>
      <c r="T4" s="2" t="s">
        <v>88</v>
      </c>
      <c r="U4" s="2" t="s">
        <v>89</v>
      </c>
      <c r="V4" s="2" t="s">
        <v>90</v>
      </c>
      <c r="W4" s="2" t="s">
        <v>91</v>
      </c>
      <c r="X4" t="s">
        <v>95</v>
      </c>
      <c r="Y4" s="2" t="s">
        <v>86</v>
      </c>
      <c r="Z4" s="2" t="s">
        <v>87</v>
      </c>
      <c r="AA4" s="2" t="s">
        <v>88</v>
      </c>
      <c r="AB4" s="2" t="s">
        <v>89</v>
      </c>
      <c r="AC4" s="2" t="s">
        <v>90</v>
      </c>
      <c r="AD4" s="2" t="s">
        <v>91</v>
      </c>
      <c r="AE4" t="s">
        <v>95</v>
      </c>
      <c r="AF4" s="2" t="s">
        <v>86</v>
      </c>
      <c r="AG4" s="2" t="s">
        <v>87</v>
      </c>
      <c r="AH4" s="2" t="s">
        <v>88</v>
      </c>
      <c r="AI4" s="2" t="s">
        <v>89</v>
      </c>
      <c r="AJ4" s="2" t="s">
        <v>90</v>
      </c>
      <c r="AK4" s="2" t="s">
        <v>91</v>
      </c>
      <c r="AL4" t="s">
        <v>95</v>
      </c>
    </row>
    <row r="5" spans="1:38">
      <c r="A5" t="s">
        <v>96</v>
      </c>
      <c r="B5" s="4">
        <v>63.6</v>
      </c>
      <c r="C5" s="4">
        <v>52.6</v>
      </c>
      <c r="D5" s="4">
        <v>58.4</v>
      </c>
      <c r="E5" s="4">
        <v>49.2</v>
      </c>
      <c r="F5" s="4">
        <v>58.8</v>
      </c>
      <c r="G5">
        <f>AVERAGE(B5:F5)</f>
        <v>56.52</v>
      </c>
      <c r="H5">
        <f>MAX(B5:F5)-MIN(B5:F5)</f>
        <v>14.4</v>
      </c>
      <c r="I5">
        <f>IF(AND(B5&gt;=60,C5&gt;=60,D5&gt;=60,E5&gt;=60,F5&gt;=60),1,IF(AND(B5&lt;60,C5&lt;60,D5&lt;60,E5&lt;60,F5&lt;60),1,0))</f>
        <v>0</v>
      </c>
      <c r="J5">
        <v>57.2</v>
      </c>
      <c r="K5" t="s">
        <v>96</v>
      </c>
      <c r="L5" s="15">
        <v>55</v>
      </c>
      <c r="M5" s="15">
        <v>40</v>
      </c>
      <c r="N5" s="15">
        <v>46</v>
      </c>
      <c r="O5" s="15">
        <v>38</v>
      </c>
      <c r="P5" s="15">
        <v>48</v>
      </c>
      <c r="Q5" s="10">
        <f>AVERAGE(L5:P5)</f>
        <v>45.4</v>
      </c>
      <c r="R5" t="s">
        <v>96</v>
      </c>
      <c r="S5">
        <v>60</v>
      </c>
      <c r="T5">
        <v>50</v>
      </c>
      <c r="U5">
        <v>65</v>
      </c>
      <c r="V5">
        <v>45</v>
      </c>
      <c r="W5">
        <v>60</v>
      </c>
      <c r="X5" s="10">
        <f t="shared" ref="X5:X68" si="0">AVERAGE(S5:W5)</f>
        <v>56</v>
      </c>
      <c r="Y5" t="s">
        <v>96</v>
      </c>
      <c r="Z5">
        <v>95</v>
      </c>
      <c r="AA5">
        <v>95</v>
      </c>
      <c r="AB5">
        <v>92</v>
      </c>
      <c r="AC5">
        <v>95</v>
      </c>
      <c r="AD5">
        <v>90</v>
      </c>
      <c r="AE5" s="10">
        <f t="shared" ref="AE5:AE68" si="1">AVERAGE(Z5:AD5)</f>
        <v>93.4</v>
      </c>
      <c r="AF5" t="s">
        <v>96</v>
      </c>
      <c r="AG5">
        <v>90</v>
      </c>
      <c r="AH5">
        <v>90</v>
      </c>
      <c r="AI5">
        <v>85</v>
      </c>
      <c r="AJ5">
        <v>75</v>
      </c>
      <c r="AK5">
        <v>90</v>
      </c>
      <c r="AL5" s="10">
        <f t="shared" ref="AL5:AL68" si="2">AVERAGE(AG5:AK5)</f>
        <v>86</v>
      </c>
    </row>
    <row r="6" spans="1:38">
      <c r="A6" t="s">
        <v>97</v>
      </c>
      <c r="B6" s="4">
        <v>82.6</v>
      </c>
      <c r="C6" s="4">
        <v>79</v>
      </c>
      <c r="D6" s="4">
        <v>81.1</v>
      </c>
      <c r="E6" s="4">
        <v>75.6</v>
      </c>
      <c r="F6" s="4">
        <v>75.4</v>
      </c>
      <c r="G6">
        <f t="shared" ref="G6:G37" si="3">AVERAGE(B6:F6)</f>
        <v>78.74</v>
      </c>
      <c r="H6">
        <f t="shared" ref="H6:H37" si="4">MAX(B6:F6)-MIN(B6:F6)</f>
        <v>7.19999999999999</v>
      </c>
      <c r="I6">
        <f t="shared" ref="I5:I68" si="5">IF(AND(B6&gt;=60,C6&gt;=60,D6&gt;=60,E6&gt;=60,F6&gt;=60),1,IF(AND(B6&lt;60,C6&lt;60,D6&lt;60,E6&lt;60,F6&lt;60),1,0))</f>
        <v>1</v>
      </c>
      <c r="J6">
        <v>42.4</v>
      </c>
      <c r="K6" t="s">
        <v>97</v>
      </c>
      <c r="L6">
        <v>85</v>
      </c>
      <c r="M6">
        <v>80</v>
      </c>
      <c r="N6">
        <v>82</v>
      </c>
      <c r="O6">
        <v>78</v>
      </c>
      <c r="P6">
        <v>75</v>
      </c>
      <c r="Q6" s="10">
        <f t="shared" ref="Q6:Q37" si="6">AVERAGE(L6:P6)</f>
        <v>80</v>
      </c>
      <c r="R6" t="s">
        <v>97</v>
      </c>
      <c r="S6">
        <v>65</v>
      </c>
      <c r="T6">
        <v>62</v>
      </c>
      <c r="U6">
        <v>70</v>
      </c>
      <c r="V6">
        <v>58</v>
      </c>
      <c r="W6">
        <v>62</v>
      </c>
      <c r="X6" s="10">
        <f t="shared" si="0"/>
        <v>63.4</v>
      </c>
      <c r="Y6" t="s">
        <v>97</v>
      </c>
      <c r="Z6">
        <v>95</v>
      </c>
      <c r="AA6">
        <v>95</v>
      </c>
      <c r="AB6">
        <v>92</v>
      </c>
      <c r="AC6">
        <v>90</v>
      </c>
      <c r="AD6">
        <v>90</v>
      </c>
      <c r="AE6" s="10">
        <f t="shared" si="1"/>
        <v>92.4</v>
      </c>
      <c r="AF6" t="s">
        <v>97</v>
      </c>
      <c r="AG6">
        <v>90</v>
      </c>
      <c r="AH6">
        <v>90</v>
      </c>
      <c r="AI6">
        <v>86</v>
      </c>
      <c r="AJ6">
        <v>80</v>
      </c>
      <c r="AK6">
        <v>90</v>
      </c>
      <c r="AL6" s="10">
        <f t="shared" si="2"/>
        <v>87.2</v>
      </c>
    </row>
    <row r="7" spans="1:38">
      <c r="A7" t="s">
        <v>98</v>
      </c>
      <c r="B7" s="4">
        <v>89.8</v>
      </c>
      <c r="C7" s="4">
        <v>93.8</v>
      </c>
      <c r="D7" s="4">
        <v>89.1</v>
      </c>
      <c r="E7" s="4">
        <v>91.8</v>
      </c>
      <c r="F7" s="4">
        <v>86.4</v>
      </c>
      <c r="G7">
        <f t="shared" si="3"/>
        <v>90.18</v>
      </c>
      <c r="H7">
        <f t="shared" si="4"/>
        <v>7.39999999999999</v>
      </c>
      <c r="I7">
        <f t="shared" si="5"/>
        <v>1</v>
      </c>
      <c r="J7">
        <v>68</v>
      </c>
      <c r="K7" t="s">
        <v>98</v>
      </c>
      <c r="L7">
        <v>92</v>
      </c>
      <c r="M7">
        <v>95</v>
      </c>
      <c r="N7">
        <v>90</v>
      </c>
      <c r="O7">
        <v>95</v>
      </c>
      <c r="P7">
        <v>88</v>
      </c>
      <c r="Q7" s="10">
        <f t="shared" si="6"/>
        <v>92</v>
      </c>
      <c r="R7" t="s">
        <v>98</v>
      </c>
      <c r="S7">
        <v>80</v>
      </c>
      <c r="T7">
        <v>90</v>
      </c>
      <c r="U7">
        <v>85</v>
      </c>
      <c r="V7">
        <v>88</v>
      </c>
      <c r="W7">
        <v>78</v>
      </c>
      <c r="X7" s="10">
        <f t="shared" si="0"/>
        <v>84.2</v>
      </c>
      <c r="Y7" t="s">
        <v>98</v>
      </c>
      <c r="Z7">
        <v>95</v>
      </c>
      <c r="AA7">
        <v>95</v>
      </c>
      <c r="AB7">
        <v>93</v>
      </c>
      <c r="AC7">
        <v>90</v>
      </c>
      <c r="AD7">
        <v>90</v>
      </c>
      <c r="AE7" s="10">
        <f t="shared" si="1"/>
        <v>92.6</v>
      </c>
      <c r="AF7" t="s">
        <v>98</v>
      </c>
      <c r="AG7">
        <v>90</v>
      </c>
      <c r="AH7">
        <v>92</v>
      </c>
      <c r="AI7">
        <v>87</v>
      </c>
      <c r="AJ7">
        <v>80</v>
      </c>
      <c r="AK7">
        <v>90</v>
      </c>
      <c r="AL7" s="10">
        <f t="shared" si="2"/>
        <v>87.8</v>
      </c>
    </row>
    <row r="8" spans="1:38">
      <c r="A8" t="s">
        <v>99</v>
      </c>
      <c r="B8" s="4">
        <v>88.8</v>
      </c>
      <c r="C8" s="4">
        <v>93.4</v>
      </c>
      <c r="D8" s="4">
        <v>89.4</v>
      </c>
      <c r="E8" s="4">
        <v>90.8</v>
      </c>
      <c r="F8" s="4">
        <v>87.2</v>
      </c>
      <c r="G8">
        <f t="shared" si="3"/>
        <v>89.92</v>
      </c>
      <c r="H8">
        <f t="shared" si="4"/>
        <v>6.2</v>
      </c>
      <c r="I8">
        <f t="shared" si="5"/>
        <v>1</v>
      </c>
      <c r="J8">
        <v>65.8</v>
      </c>
      <c r="K8" t="s">
        <v>99</v>
      </c>
      <c r="L8">
        <v>92</v>
      </c>
      <c r="M8">
        <v>95</v>
      </c>
      <c r="N8">
        <v>90</v>
      </c>
      <c r="O8">
        <v>92</v>
      </c>
      <c r="P8">
        <v>88</v>
      </c>
      <c r="Q8" s="10">
        <f t="shared" si="6"/>
        <v>91.4</v>
      </c>
      <c r="R8" t="s">
        <v>99</v>
      </c>
      <c r="S8">
        <v>78</v>
      </c>
      <c r="T8">
        <v>88</v>
      </c>
      <c r="U8">
        <v>88</v>
      </c>
      <c r="V8">
        <v>92</v>
      </c>
      <c r="W8">
        <v>82</v>
      </c>
      <c r="X8" s="10">
        <f t="shared" si="0"/>
        <v>85.6</v>
      </c>
      <c r="Y8" t="s">
        <v>99</v>
      </c>
      <c r="Z8">
        <v>90</v>
      </c>
      <c r="AA8">
        <v>95</v>
      </c>
      <c r="AB8">
        <v>90</v>
      </c>
      <c r="AC8">
        <v>90</v>
      </c>
      <c r="AD8">
        <v>90</v>
      </c>
      <c r="AE8" s="10">
        <f t="shared" si="1"/>
        <v>91</v>
      </c>
      <c r="AF8" t="s">
        <v>99</v>
      </c>
      <c r="AG8">
        <v>90</v>
      </c>
      <c r="AH8">
        <v>92</v>
      </c>
      <c r="AI8">
        <v>87</v>
      </c>
      <c r="AJ8">
        <v>80</v>
      </c>
      <c r="AK8">
        <v>90</v>
      </c>
      <c r="AL8" s="10">
        <f t="shared" si="2"/>
        <v>87.8</v>
      </c>
    </row>
    <row r="9" spans="1:38">
      <c r="A9" t="s">
        <v>100</v>
      </c>
      <c r="B9" s="4">
        <v>86.6</v>
      </c>
      <c r="C9" s="4">
        <v>79</v>
      </c>
      <c r="D9" s="4">
        <v>83.4</v>
      </c>
      <c r="E9" s="4">
        <v>88</v>
      </c>
      <c r="F9" s="4">
        <v>86.4</v>
      </c>
      <c r="G9">
        <f t="shared" si="3"/>
        <v>84.68</v>
      </c>
      <c r="H9">
        <f t="shared" si="4"/>
        <v>9</v>
      </c>
      <c r="I9">
        <f t="shared" si="5"/>
        <v>1</v>
      </c>
      <c r="J9">
        <v>57.2</v>
      </c>
      <c r="K9" t="s">
        <v>100</v>
      </c>
      <c r="L9">
        <v>90</v>
      </c>
      <c r="M9">
        <v>78</v>
      </c>
      <c r="N9">
        <v>85</v>
      </c>
      <c r="O9">
        <v>90</v>
      </c>
      <c r="P9">
        <v>88</v>
      </c>
      <c r="Q9" s="10">
        <f t="shared" si="6"/>
        <v>86.2</v>
      </c>
      <c r="R9" t="s">
        <v>100</v>
      </c>
      <c r="S9">
        <v>70</v>
      </c>
      <c r="T9">
        <v>68</v>
      </c>
      <c r="U9">
        <v>72</v>
      </c>
      <c r="V9">
        <v>78</v>
      </c>
      <c r="W9">
        <v>78</v>
      </c>
      <c r="X9" s="10">
        <f t="shared" si="0"/>
        <v>73.2</v>
      </c>
      <c r="Y9" t="s">
        <v>100</v>
      </c>
      <c r="Z9">
        <v>95</v>
      </c>
      <c r="AA9">
        <v>95</v>
      </c>
      <c r="AB9">
        <v>93</v>
      </c>
      <c r="AC9">
        <v>100</v>
      </c>
      <c r="AD9">
        <v>90</v>
      </c>
      <c r="AE9" s="10">
        <f t="shared" si="1"/>
        <v>94.6</v>
      </c>
      <c r="AF9" t="s">
        <v>100</v>
      </c>
      <c r="AG9">
        <v>90</v>
      </c>
      <c r="AH9">
        <v>90</v>
      </c>
      <c r="AI9">
        <v>86</v>
      </c>
      <c r="AJ9">
        <v>80</v>
      </c>
      <c r="AK9">
        <v>90</v>
      </c>
      <c r="AL9" s="10">
        <f t="shared" si="2"/>
        <v>87.2</v>
      </c>
    </row>
    <row r="10" spans="1:38">
      <c r="A10" t="s">
        <v>101</v>
      </c>
      <c r="B10" s="4">
        <v>87</v>
      </c>
      <c r="C10" s="4">
        <v>87.8</v>
      </c>
      <c r="D10" s="4">
        <v>87.1</v>
      </c>
      <c r="E10" s="4">
        <v>86.2</v>
      </c>
      <c r="F10" s="4">
        <v>84.6</v>
      </c>
      <c r="G10">
        <f t="shared" si="3"/>
        <v>86.54</v>
      </c>
      <c r="H10">
        <f t="shared" si="4"/>
        <v>3.2</v>
      </c>
      <c r="I10">
        <f t="shared" si="5"/>
        <v>1</v>
      </c>
      <c r="J10">
        <v>59.6</v>
      </c>
      <c r="K10" t="s">
        <v>101</v>
      </c>
      <c r="L10">
        <v>90</v>
      </c>
      <c r="M10">
        <v>88</v>
      </c>
      <c r="N10">
        <v>88</v>
      </c>
      <c r="O10">
        <v>90</v>
      </c>
      <c r="P10">
        <v>85</v>
      </c>
      <c r="Q10" s="10">
        <f t="shared" si="6"/>
        <v>88.2</v>
      </c>
      <c r="R10" t="s">
        <v>101</v>
      </c>
      <c r="S10">
        <v>72</v>
      </c>
      <c r="T10">
        <v>82</v>
      </c>
      <c r="U10">
        <v>82</v>
      </c>
      <c r="V10">
        <v>75</v>
      </c>
      <c r="W10">
        <v>78</v>
      </c>
      <c r="X10" s="10">
        <f t="shared" si="0"/>
        <v>77.8</v>
      </c>
      <c r="Y10" t="s">
        <v>101</v>
      </c>
      <c r="Z10">
        <v>95</v>
      </c>
      <c r="AA10">
        <v>95</v>
      </c>
      <c r="AB10">
        <v>92</v>
      </c>
      <c r="AC10">
        <v>90</v>
      </c>
      <c r="AD10">
        <v>90</v>
      </c>
      <c r="AE10" s="10">
        <f t="shared" si="1"/>
        <v>92.4</v>
      </c>
      <c r="AF10" t="s">
        <v>101</v>
      </c>
      <c r="AG10">
        <v>90</v>
      </c>
      <c r="AH10">
        <v>90</v>
      </c>
      <c r="AI10">
        <v>86</v>
      </c>
      <c r="AJ10">
        <v>80</v>
      </c>
      <c r="AK10">
        <v>90</v>
      </c>
      <c r="AL10" s="10">
        <f t="shared" si="2"/>
        <v>87.2</v>
      </c>
    </row>
    <row r="11" spans="1:38">
      <c r="A11" t="s">
        <v>102</v>
      </c>
      <c r="B11" s="4">
        <v>89.4</v>
      </c>
      <c r="C11" s="4">
        <v>89</v>
      </c>
      <c r="D11" s="4">
        <v>86.3</v>
      </c>
      <c r="E11" s="4">
        <v>85.2</v>
      </c>
      <c r="F11" s="4">
        <v>84</v>
      </c>
      <c r="G11">
        <f t="shared" si="3"/>
        <v>86.78</v>
      </c>
      <c r="H11">
        <f t="shared" si="4"/>
        <v>5.40000000000001</v>
      </c>
      <c r="I11">
        <f t="shared" si="5"/>
        <v>1</v>
      </c>
      <c r="J11">
        <v>60.2</v>
      </c>
      <c r="K11" t="s">
        <v>102</v>
      </c>
      <c r="L11">
        <v>92</v>
      </c>
      <c r="M11">
        <v>90</v>
      </c>
      <c r="N11">
        <v>88</v>
      </c>
      <c r="O11">
        <v>90</v>
      </c>
      <c r="P11">
        <v>85</v>
      </c>
      <c r="Q11" s="10">
        <f t="shared" si="6"/>
        <v>89</v>
      </c>
      <c r="R11" t="s">
        <v>102</v>
      </c>
      <c r="S11">
        <v>78</v>
      </c>
      <c r="T11">
        <v>82</v>
      </c>
      <c r="U11">
        <v>78</v>
      </c>
      <c r="V11">
        <v>70</v>
      </c>
      <c r="W11">
        <v>75</v>
      </c>
      <c r="X11" s="10">
        <f t="shared" si="0"/>
        <v>76.6</v>
      </c>
      <c r="Y11" t="s">
        <v>102</v>
      </c>
      <c r="Z11">
        <v>95</v>
      </c>
      <c r="AA11">
        <v>95</v>
      </c>
      <c r="AB11">
        <v>92</v>
      </c>
      <c r="AC11">
        <v>90</v>
      </c>
      <c r="AD11">
        <v>90</v>
      </c>
      <c r="AE11" s="10">
        <f t="shared" si="1"/>
        <v>92.4</v>
      </c>
      <c r="AF11" t="s">
        <v>102</v>
      </c>
      <c r="AG11">
        <v>90</v>
      </c>
      <c r="AH11">
        <v>90</v>
      </c>
      <c r="AI11">
        <v>86</v>
      </c>
      <c r="AJ11">
        <v>80</v>
      </c>
      <c r="AK11">
        <v>90</v>
      </c>
      <c r="AL11" s="10">
        <f t="shared" si="2"/>
        <v>87.2</v>
      </c>
    </row>
    <row r="12" spans="1:38">
      <c r="A12" t="s">
        <v>103</v>
      </c>
      <c r="B12" s="4">
        <v>89.4</v>
      </c>
      <c r="C12" s="4">
        <v>85.2</v>
      </c>
      <c r="D12" s="4">
        <v>84.1</v>
      </c>
      <c r="E12" s="4">
        <v>90.4</v>
      </c>
      <c r="F12" s="4">
        <v>87.2</v>
      </c>
      <c r="G12">
        <f t="shared" si="3"/>
        <v>87.26</v>
      </c>
      <c r="H12">
        <f t="shared" si="4"/>
        <v>6.30000000000001</v>
      </c>
      <c r="I12">
        <f t="shared" si="5"/>
        <v>1</v>
      </c>
      <c r="J12">
        <v>60.2</v>
      </c>
      <c r="K12" t="s">
        <v>103</v>
      </c>
      <c r="L12">
        <v>92</v>
      </c>
      <c r="M12">
        <v>85</v>
      </c>
      <c r="N12">
        <v>84</v>
      </c>
      <c r="O12">
        <v>92</v>
      </c>
      <c r="P12">
        <v>88</v>
      </c>
      <c r="Q12" s="10">
        <f t="shared" si="6"/>
        <v>88.2</v>
      </c>
      <c r="R12" t="s">
        <v>103</v>
      </c>
      <c r="S12">
        <v>78</v>
      </c>
      <c r="T12">
        <v>78</v>
      </c>
      <c r="U12">
        <v>80</v>
      </c>
      <c r="V12">
        <v>90</v>
      </c>
      <c r="W12">
        <v>82</v>
      </c>
      <c r="X12" s="10">
        <f t="shared" si="0"/>
        <v>81.6</v>
      </c>
      <c r="Y12" t="s">
        <v>103</v>
      </c>
      <c r="Z12">
        <v>95</v>
      </c>
      <c r="AA12">
        <v>95</v>
      </c>
      <c r="AB12">
        <v>90</v>
      </c>
      <c r="AC12">
        <v>90</v>
      </c>
      <c r="AD12">
        <v>90</v>
      </c>
      <c r="AE12" s="10">
        <f t="shared" si="1"/>
        <v>92</v>
      </c>
      <c r="AF12" t="s">
        <v>103</v>
      </c>
      <c r="AG12">
        <v>90</v>
      </c>
      <c r="AH12">
        <v>90</v>
      </c>
      <c r="AI12">
        <v>86</v>
      </c>
      <c r="AJ12">
        <v>80</v>
      </c>
      <c r="AK12">
        <v>90</v>
      </c>
      <c r="AL12" s="10">
        <f t="shared" si="2"/>
        <v>87.2</v>
      </c>
    </row>
    <row r="13" spans="1:38">
      <c r="A13" t="s">
        <v>104</v>
      </c>
      <c r="B13" s="4">
        <v>87.8</v>
      </c>
      <c r="C13" s="4">
        <v>0</v>
      </c>
      <c r="D13" s="4">
        <v>83.1</v>
      </c>
      <c r="E13" s="4">
        <v>84.4</v>
      </c>
      <c r="F13" s="4">
        <v>84.2</v>
      </c>
      <c r="G13">
        <f t="shared" si="3"/>
        <v>67.9</v>
      </c>
      <c r="H13">
        <f t="shared" si="4"/>
        <v>87.8</v>
      </c>
      <c r="I13">
        <f t="shared" si="5"/>
        <v>0</v>
      </c>
      <c r="J13">
        <v>60.2</v>
      </c>
      <c r="K13" t="s">
        <v>104</v>
      </c>
      <c r="L13">
        <v>92</v>
      </c>
      <c r="M13">
        <v>0</v>
      </c>
      <c r="N13">
        <v>84</v>
      </c>
      <c r="O13">
        <v>88</v>
      </c>
      <c r="P13">
        <v>85</v>
      </c>
      <c r="Q13" s="10">
        <f t="shared" si="6"/>
        <v>69.8</v>
      </c>
      <c r="R13" t="s">
        <v>104</v>
      </c>
      <c r="S13">
        <v>70</v>
      </c>
      <c r="T13">
        <v>0</v>
      </c>
      <c r="U13">
        <v>75</v>
      </c>
      <c r="V13">
        <v>72</v>
      </c>
      <c r="W13">
        <v>76</v>
      </c>
      <c r="X13" s="10">
        <f t="shared" si="0"/>
        <v>58.6</v>
      </c>
      <c r="Y13" t="s">
        <v>104</v>
      </c>
      <c r="Z13">
        <v>95</v>
      </c>
      <c r="AA13">
        <v>0</v>
      </c>
      <c r="AB13">
        <v>90</v>
      </c>
      <c r="AC13">
        <v>90</v>
      </c>
      <c r="AD13">
        <v>90</v>
      </c>
      <c r="AE13" s="10">
        <f t="shared" si="1"/>
        <v>73</v>
      </c>
      <c r="AF13" t="s">
        <v>104</v>
      </c>
      <c r="AG13">
        <v>90</v>
      </c>
      <c r="AH13">
        <v>0</v>
      </c>
      <c r="AI13">
        <v>86</v>
      </c>
      <c r="AJ13">
        <v>80</v>
      </c>
      <c r="AK13">
        <v>90</v>
      </c>
      <c r="AL13" s="10">
        <f t="shared" si="2"/>
        <v>69.2</v>
      </c>
    </row>
    <row r="14" spans="1:38">
      <c r="A14" t="s">
        <v>105</v>
      </c>
      <c r="B14" s="4">
        <v>8</v>
      </c>
      <c r="C14" s="4">
        <v>81.6</v>
      </c>
      <c r="D14" s="4">
        <v>5</v>
      </c>
      <c r="E14" s="4">
        <v>0</v>
      </c>
      <c r="F14" s="4">
        <v>8.8</v>
      </c>
      <c r="G14">
        <f t="shared" si="3"/>
        <v>20.68</v>
      </c>
      <c r="H14">
        <f t="shared" si="4"/>
        <v>81.6</v>
      </c>
      <c r="I14">
        <f t="shared" si="5"/>
        <v>0</v>
      </c>
      <c r="J14">
        <v>0</v>
      </c>
      <c r="K14" t="s">
        <v>105</v>
      </c>
      <c r="L14">
        <v>10</v>
      </c>
      <c r="M14">
        <v>80</v>
      </c>
      <c r="N14">
        <v>5</v>
      </c>
      <c r="O14">
        <v>0</v>
      </c>
      <c r="P14">
        <v>8</v>
      </c>
      <c r="Q14" s="10">
        <f t="shared" si="6"/>
        <v>20.6</v>
      </c>
      <c r="R14" t="s">
        <v>105</v>
      </c>
      <c r="S14">
        <v>5</v>
      </c>
      <c r="T14">
        <v>75</v>
      </c>
      <c r="U14">
        <v>5</v>
      </c>
      <c r="V14">
        <v>0</v>
      </c>
      <c r="W14">
        <v>10</v>
      </c>
      <c r="X14" s="10">
        <f t="shared" si="0"/>
        <v>19</v>
      </c>
      <c r="Y14" t="s">
        <v>105</v>
      </c>
      <c r="Z14">
        <v>5</v>
      </c>
      <c r="AA14">
        <v>95</v>
      </c>
      <c r="AB14">
        <v>5</v>
      </c>
      <c r="AC14">
        <v>0</v>
      </c>
      <c r="AD14">
        <v>10</v>
      </c>
      <c r="AE14" s="10">
        <f t="shared" si="1"/>
        <v>23</v>
      </c>
      <c r="AF14" t="s">
        <v>105</v>
      </c>
      <c r="AG14">
        <v>5</v>
      </c>
      <c r="AH14">
        <v>90</v>
      </c>
      <c r="AI14">
        <v>5</v>
      </c>
      <c r="AJ14">
        <v>0</v>
      </c>
      <c r="AK14">
        <v>10</v>
      </c>
      <c r="AL14" s="10">
        <f t="shared" si="2"/>
        <v>22</v>
      </c>
    </row>
    <row r="15" spans="1:38">
      <c r="A15" t="s">
        <v>106</v>
      </c>
      <c r="B15" s="4">
        <v>89</v>
      </c>
      <c r="C15" s="4">
        <v>33</v>
      </c>
      <c r="D15" s="4">
        <v>86.7</v>
      </c>
      <c r="E15" s="4">
        <v>91.6</v>
      </c>
      <c r="F15" s="4">
        <v>87.2</v>
      </c>
      <c r="G15">
        <f t="shared" si="3"/>
        <v>77.5</v>
      </c>
      <c r="H15">
        <f t="shared" si="4"/>
        <v>58.6</v>
      </c>
      <c r="I15">
        <f t="shared" si="5"/>
        <v>0</v>
      </c>
      <c r="J15">
        <v>64.6</v>
      </c>
      <c r="K15" t="s">
        <v>106</v>
      </c>
      <c r="L15">
        <v>90</v>
      </c>
      <c r="M15">
        <v>20</v>
      </c>
      <c r="N15">
        <v>86</v>
      </c>
      <c r="O15">
        <v>92</v>
      </c>
      <c r="P15">
        <v>88</v>
      </c>
      <c r="Q15" s="10">
        <f t="shared" si="6"/>
        <v>75.2</v>
      </c>
      <c r="R15" t="s">
        <v>106</v>
      </c>
      <c r="S15">
        <v>82</v>
      </c>
      <c r="T15">
        <v>15</v>
      </c>
      <c r="U15">
        <v>85</v>
      </c>
      <c r="V15">
        <v>90</v>
      </c>
      <c r="W15">
        <v>82</v>
      </c>
      <c r="X15" s="10">
        <f t="shared" si="0"/>
        <v>70.8</v>
      </c>
      <c r="Y15" t="s">
        <v>106</v>
      </c>
      <c r="Z15">
        <v>95</v>
      </c>
      <c r="AA15">
        <v>90</v>
      </c>
      <c r="AB15">
        <v>93</v>
      </c>
      <c r="AC15">
        <v>100</v>
      </c>
      <c r="AD15">
        <v>90</v>
      </c>
      <c r="AE15" s="10">
        <f t="shared" si="1"/>
        <v>93.6</v>
      </c>
      <c r="AF15" t="s">
        <v>106</v>
      </c>
      <c r="AG15">
        <v>90</v>
      </c>
      <c r="AH15">
        <v>90</v>
      </c>
      <c r="AI15">
        <v>87</v>
      </c>
      <c r="AJ15">
        <v>80</v>
      </c>
      <c r="AK15">
        <v>90</v>
      </c>
      <c r="AL15" s="10">
        <f t="shared" si="2"/>
        <v>87.4</v>
      </c>
    </row>
    <row r="16" spans="1:38">
      <c r="A16" t="s">
        <v>107</v>
      </c>
      <c r="B16" s="4">
        <v>86.6</v>
      </c>
      <c r="C16" s="4">
        <v>79.6</v>
      </c>
      <c r="D16" s="4">
        <v>82.4</v>
      </c>
      <c r="E16" s="4">
        <v>86.2</v>
      </c>
      <c r="F16" s="4">
        <v>84</v>
      </c>
      <c r="G16">
        <f t="shared" si="3"/>
        <v>83.76</v>
      </c>
      <c r="H16">
        <f t="shared" si="4"/>
        <v>7</v>
      </c>
      <c r="I16">
        <f t="shared" si="5"/>
        <v>1</v>
      </c>
      <c r="J16">
        <v>41.6</v>
      </c>
      <c r="K16" t="s">
        <v>107</v>
      </c>
      <c r="L16">
        <v>90</v>
      </c>
      <c r="M16">
        <v>80</v>
      </c>
      <c r="N16">
        <v>84</v>
      </c>
      <c r="O16">
        <v>88</v>
      </c>
      <c r="P16">
        <v>85</v>
      </c>
      <c r="Q16" s="10">
        <f t="shared" si="6"/>
        <v>85.4</v>
      </c>
      <c r="R16" t="s">
        <v>107</v>
      </c>
      <c r="S16">
        <v>70</v>
      </c>
      <c r="T16">
        <v>65</v>
      </c>
      <c r="U16">
        <v>70</v>
      </c>
      <c r="V16">
        <v>75</v>
      </c>
      <c r="W16">
        <v>75</v>
      </c>
      <c r="X16" s="10">
        <f t="shared" si="0"/>
        <v>71</v>
      </c>
      <c r="Y16" t="s">
        <v>107</v>
      </c>
      <c r="Z16">
        <v>95</v>
      </c>
      <c r="AA16">
        <v>95</v>
      </c>
      <c r="AB16">
        <v>93</v>
      </c>
      <c r="AC16">
        <v>100</v>
      </c>
      <c r="AD16">
        <v>90</v>
      </c>
      <c r="AE16" s="10">
        <f t="shared" si="1"/>
        <v>94.6</v>
      </c>
      <c r="AF16" t="s">
        <v>107</v>
      </c>
      <c r="AG16">
        <v>90</v>
      </c>
      <c r="AH16">
        <v>90</v>
      </c>
      <c r="AI16">
        <v>86</v>
      </c>
      <c r="AJ16">
        <v>80</v>
      </c>
      <c r="AK16">
        <v>90</v>
      </c>
      <c r="AL16" s="10">
        <f t="shared" si="2"/>
        <v>87.2</v>
      </c>
    </row>
    <row r="17" spans="1:38">
      <c r="A17" t="s">
        <v>108</v>
      </c>
      <c r="B17" s="4">
        <v>75.4</v>
      </c>
      <c r="C17" s="4">
        <v>30</v>
      </c>
      <c r="D17" s="4">
        <v>31</v>
      </c>
      <c r="E17" s="4">
        <v>8.6</v>
      </c>
      <c r="F17" s="4">
        <v>48.6</v>
      </c>
      <c r="G17">
        <f t="shared" si="3"/>
        <v>38.72</v>
      </c>
      <c r="H17">
        <f t="shared" si="4"/>
        <v>66.8</v>
      </c>
      <c r="I17">
        <f t="shared" si="5"/>
        <v>0</v>
      </c>
      <c r="J17">
        <v>59.6</v>
      </c>
      <c r="K17" t="s">
        <v>108</v>
      </c>
      <c r="L17">
        <v>78</v>
      </c>
      <c r="M17">
        <v>15</v>
      </c>
      <c r="N17">
        <v>32</v>
      </c>
      <c r="O17">
        <v>5</v>
      </c>
      <c r="P17">
        <v>38</v>
      </c>
      <c r="Q17" s="10">
        <f t="shared" si="6"/>
        <v>33.6</v>
      </c>
      <c r="R17" t="s">
        <v>108</v>
      </c>
      <c r="S17">
        <v>50</v>
      </c>
      <c r="T17">
        <v>15</v>
      </c>
      <c r="U17">
        <v>25</v>
      </c>
      <c r="V17">
        <v>10</v>
      </c>
      <c r="W17">
        <v>40</v>
      </c>
      <c r="X17" s="10">
        <f t="shared" si="0"/>
        <v>28</v>
      </c>
      <c r="Y17" t="s">
        <v>108</v>
      </c>
      <c r="Z17">
        <v>95</v>
      </c>
      <c r="AA17">
        <v>90</v>
      </c>
      <c r="AB17">
        <v>30</v>
      </c>
      <c r="AC17">
        <v>20</v>
      </c>
      <c r="AD17">
        <v>88</v>
      </c>
      <c r="AE17" s="10">
        <f t="shared" si="1"/>
        <v>64.6</v>
      </c>
      <c r="AF17" t="s">
        <v>108</v>
      </c>
      <c r="AG17">
        <v>90</v>
      </c>
      <c r="AH17">
        <v>90</v>
      </c>
      <c r="AI17">
        <v>40</v>
      </c>
      <c r="AJ17">
        <v>15</v>
      </c>
      <c r="AK17">
        <v>90</v>
      </c>
      <c r="AL17" s="10">
        <f t="shared" si="2"/>
        <v>65</v>
      </c>
    </row>
    <row r="18" spans="1:38">
      <c r="A18" t="s">
        <v>109</v>
      </c>
      <c r="B18" s="4">
        <v>75.4</v>
      </c>
      <c r="C18" s="4">
        <v>79</v>
      </c>
      <c r="D18" s="4">
        <v>31</v>
      </c>
      <c r="E18" s="4">
        <v>8.6</v>
      </c>
      <c r="F18" s="4">
        <v>48.6</v>
      </c>
      <c r="G18">
        <f t="shared" si="3"/>
        <v>48.52</v>
      </c>
      <c r="H18">
        <f t="shared" si="4"/>
        <v>70.4</v>
      </c>
      <c r="I18">
        <f t="shared" si="5"/>
        <v>0</v>
      </c>
      <c r="J18">
        <v>59.6</v>
      </c>
      <c r="K18" t="s">
        <v>109</v>
      </c>
      <c r="L18">
        <v>78</v>
      </c>
      <c r="M18">
        <v>80</v>
      </c>
      <c r="N18">
        <v>32</v>
      </c>
      <c r="O18">
        <v>5</v>
      </c>
      <c r="P18">
        <v>38</v>
      </c>
      <c r="Q18" s="10">
        <f t="shared" si="6"/>
        <v>46.6</v>
      </c>
      <c r="R18" t="s">
        <v>109</v>
      </c>
      <c r="S18">
        <v>50</v>
      </c>
      <c r="T18">
        <v>62</v>
      </c>
      <c r="U18">
        <v>25</v>
      </c>
      <c r="V18">
        <v>10</v>
      </c>
      <c r="W18">
        <v>40</v>
      </c>
      <c r="X18" s="10">
        <f t="shared" si="0"/>
        <v>37.4</v>
      </c>
      <c r="Y18" t="s">
        <v>109</v>
      </c>
      <c r="Z18">
        <v>95</v>
      </c>
      <c r="AA18">
        <v>95</v>
      </c>
      <c r="AB18">
        <v>30</v>
      </c>
      <c r="AC18">
        <v>20</v>
      </c>
      <c r="AD18">
        <v>88</v>
      </c>
      <c r="AE18" s="10">
        <f t="shared" si="1"/>
        <v>65.6</v>
      </c>
      <c r="AF18" t="s">
        <v>109</v>
      </c>
      <c r="AG18">
        <v>90</v>
      </c>
      <c r="AH18">
        <v>90</v>
      </c>
      <c r="AI18">
        <v>40</v>
      </c>
      <c r="AJ18">
        <v>15</v>
      </c>
      <c r="AK18">
        <v>90</v>
      </c>
      <c r="AL18" s="10">
        <f t="shared" si="2"/>
        <v>65</v>
      </c>
    </row>
    <row r="19" spans="1:38">
      <c r="A19" t="s">
        <v>110</v>
      </c>
      <c r="B19" s="4">
        <v>85.8</v>
      </c>
      <c r="C19" s="4">
        <v>82.8</v>
      </c>
      <c r="D19" s="4">
        <v>76.3</v>
      </c>
      <c r="E19" s="4">
        <v>84.4</v>
      </c>
      <c r="F19" s="4">
        <v>83.6</v>
      </c>
      <c r="G19">
        <f t="shared" si="3"/>
        <v>82.58</v>
      </c>
      <c r="H19">
        <f t="shared" si="4"/>
        <v>9.5</v>
      </c>
      <c r="I19">
        <f t="shared" si="5"/>
        <v>1</v>
      </c>
      <c r="J19">
        <v>60.2</v>
      </c>
      <c r="K19" t="s">
        <v>110</v>
      </c>
      <c r="L19">
        <v>92</v>
      </c>
      <c r="M19">
        <v>82</v>
      </c>
      <c r="N19">
        <v>76</v>
      </c>
      <c r="O19">
        <v>88</v>
      </c>
      <c r="P19">
        <v>85</v>
      </c>
      <c r="Q19" s="10">
        <f t="shared" si="6"/>
        <v>84.6</v>
      </c>
      <c r="R19" t="s">
        <v>110</v>
      </c>
      <c r="S19">
        <v>60</v>
      </c>
      <c r="T19">
        <v>75</v>
      </c>
      <c r="U19">
        <v>65</v>
      </c>
      <c r="V19">
        <v>72</v>
      </c>
      <c r="W19">
        <v>73</v>
      </c>
      <c r="X19" s="10">
        <f t="shared" si="0"/>
        <v>69</v>
      </c>
      <c r="Y19" t="s">
        <v>110</v>
      </c>
      <c r="Z19">
        <v>95</v>
      </c>
      <c r="AA19">
        <v>95</v>
      </c>
      <c r="AB19">
        <v>90</v>
      </c>
      <c r="AC19">
        <v>90</v>
      </c>
      <c r="AD19">
        <v>90</v>
      </c>
      <c r="AE19" s="10">
        <f t="shared" si="1"/>
        <v>92</v>
      </c>
      <c r="AF19" t="s">
        <v>110</v>
      </c>
      <c r="AG19">
        <v>90</v>
      </c>
      <c r="AH19">
        <v>90</v>
      </c>
      <c r="AI19">
        <v>86</v>
      </c>
      <c r="AJ19">
        <v>80</v>
      </c>
      <c r="AK19">
        <v>90</v>
      </c>
      <c r="AL19" s="10">
        <f t="shared" si="2"/>
        <v>87.2</v>
      </c>
    </row>
    <row r="20" spans="1:38">
      <c r="A20" t="s">
        <v>111</v>
      </c>
      <c r="B20" s="4">
        <v>21</v>
      </c>
      <c r="C20" s="4">
        <v>79</v>
      </c>
      <c r="D20" s="4">
        <v>24.4</v>
      </c>
      <c r="E20" s="4">
        <v>8.6</v>
      </c>
      <c r="F20" s="4">
        <v>42.8</v>
      </c>
      <c r="G20">
        <f t="shared" si="3"/>
        <v>35.16</v>
      </c>
      <c r="H20">
        <f t="shared" si="4"/>
        <v>70.4</v>
      </c>
      <c r="I20">
        <f t="shared" si="5"/>
        <v>0</v>
      </c>
      <c r="J20">
        <v>39.6</v>
      </c>
      <c r="K20" t="s">
        <v>111</v>
      </c>
      <c r="L20">
        <v>20</v>
      </c>
      <c r="M20">
        <v>80</v>
      </c>
      <c r="N20">
        <v>25</v>
      </c>
      <c r="O20">
        <v>5</v>
      </c>
      <c r="P20">
        <v>35</v>
      </c>
      <c r="Q20" s="10">
        <f t="shared" si="6"/>
        <v>33</v>
      </c>
      <c r="R20" t="s">
        <v>111</v>
      </c>
      <c r="S20">
        <v>15</v>
      </c>
      <c r="T20">
        <v>62</v>
      </c>
      <c r="U20">
        <v>20</v>
      </c>
      <c r="V20">
        <v>10</v>
      </c>
      <c r="W20">
        <v>32</v>
      </c>
      <c r="X20" s="10">
        <f t="shared" si="0"/>
        <v>27.8</v>
      </c>
      <c r="Y20" t="s">
        <v>111</v>
      </c>
      <c r="Z20">
        <v>30</v>
      </c>
      <c r="AA20">
        <v>95</v>
      </c>
      <c r="AB20">
        <v>25</v>
      </c>
      <c r="AC20">
        <v>20</v>
      </c>
      <c r="AD20">
        <v>82</v>
      </c>
      <c r="AE20" s="10">
        <f t="shared" si="1"/>
        <v>50.4</v>
      </c>
      <c r="AF20" t="s">
        <v>111</v>
      </c>
      <c r="AG20">
        <v>30</v>
      </c>
      <c r="AH20">
        <v>90</v>
      </c>
      <c r="AI20">
        <v>30</v>
      </c>
      <c r="AJ20">
        <v>15</v>
      </c>
      <c r="AK20">
        <v>70</v>
      </c>
      <c r="AL20" s="10">
        <f t="shared" si="2"/>
        <v>47</v>
      </c>
    </row>
    <row r="21" spans="1:38">
      <c r="A21" t="s">
        <v>112</v>
      </c>
      <c r="B21" s="4">
        <v>85.6</v>
      </c>
      <c r="C21" s="4">
        <v>85.2</v>
      </c>
      <c r="D21" s="4">
        <v>75.8</v>
      </c>
      <c r="E21" s="4">
        <v>82.4</v>
      </c>
      <c r="F21" s="4">
        <v>83</v>
      </c>
      <c r="G21">
        <f t="shared" si="3"/>
        <v>82.4</v>
      </c>
      <c r="H21">
        <f t="shared" si="4"/>
        <v>9.8</v>
      </c>
      <c r="I21">
        <f t="shared" si="5"/>
        <v>1</v>
      </c>
      <c r="J21">
        <v>56.4</v>
      </c>
      <c r="K21" t="s">
        <v>112</v>
      </c>
      <c r="L21">
        <v>90</v>
      </c>
      <c r="M21">
        <v>85</v>
      </c>
      <c r="N21">
        <v>78</v>
      </c>
      <c r="O21">
        <v>85</v>
      </c>
      <c r="P21">
        <v>85</v>
      </c>
      <c r="Q21" s="10">
        <f t="shared" si="6"/>
        <v>84.6</v>
      </c>
      <c r="R21" t="s">
        <v>112</v>
      </c>
      <c r="S21">
        <v>65</v>
      </c>
      <c r="T21">
        <v>78</v>
      </c>
      <c r="U21">
        <v>55</v>
      </c>
      <c r="V21">
        <v>65</v>
      </c>
      <c r="W21">
        <v>70</v>
      </c>
      <c r="X21" s="10">
        <f t="shared" si="0"/>
        <v>66.6</v>
      </c>
      <c r="Y21" t="s">
        <v>112</v>
      </c>
      <c r="Z21">
        <v>95</v>
      </c>
      <c r="AA21">
        <v>95</v>
      </c>
      <c r="AB21">
        <v>93</v>
      </c>
      <c r="AC21">
        <v>100</v>
      </c>
      <c r="AD21">
        <v>90</v>
      </c>
      <c r="AE21" s="10">
        <f t="shared" si="1"/>
        <v>94.6</v>
      </c>
      <c r="AF21" t="s">
        <v>112</v>
      </c>
      <c r="AG21">
        <v>90</v>
      </c>
      <c r="AH21">
        <v>90</v>
      </c>
      <c r="AI21">
        <v>86</v>
      </c>
      <c r="AJ21">
        <v>80</v>
      </c>
      <c r="AK21">
        <v>90</v>
      </c>
      <c r="AL21" s="10">
        <f t="shared" si="2"/>
        <v>87.2</v>
      </c>
    </row>
    <row r="22" spans="1:38">
      <c r="A22" t="s">
        <v>113</v>
      </c>
      <c r="B22" s="4">
        <v>89.4</v>
      </c>
      <c r="C22" s="4">
        <v>85.2</v>
      </c>
      <c r="D22" s="4">
        <v>84.1</v>
      </c>
      <c r="E22" s="4">
        <v>90.4</v>
      </c>
      <c r="F22" s="4">
        <v>87.2</v>
      </c>
      <c r="G22">
        <f t="shared" si="3"/>
        <v>87.26</v>
      </c>
      <c r="H22">
        <f t="shared" si="4"/>
        <v>6.30000000000001</v>
      </c>
      <c r="I22">
        <f t="shared" si="5"/>
        <v>1</v>
      </c>
      <c r="J22">
        <v>60.2</v>
      </c>
      <c r="K22" t="s">
        <v>113</v>
      </c>
      <c r="L22">
        <v>92</v>
      </c>
      <c r="M22">
        <v>85</v>
      </c>
      <c r="N22">
        <v>84</v>
      </c>
      <c r="O22">
        <v>92</v>
      </c>
      <c r="P22">
        <v>88</v>
      </c>
      <c r="Q22" s="10">
        <f t="shared" si="6"/>
        <v>88.2</v>
      </c>
      <c r="R22" t="s">
        <v>113</v>
      </c>
      <c r="S22">
        <v>78</v>
      </c>
      <c r="T22">
        <v>78</v>
      </c>
      <c r="U22">
        <v>80</v>
      </c>
      <c r="V22">
        <v>90</v>
      </c>
      <c r="W22">
        <v>82</v>
      </c>
      <c r="X22" s="10">
        <f t="shared" si="0"/>
        <v>81.6</v>
      </c>
      <c r="Y22" t="s">
        <v>113</v>
      </c>
      <c r="Z22">
        <v>95</v>
      </c>
      <c r="AA22">
        <v>95</v>
      </c>
      <c r="AB22">
        <v>90</v>
      </c>
      <c r="AC22">
        <v>90</v>
      </c>
      <c r="AD22">
        <v>90</v>
      </c>
      <c r="AE22" s="10">
        <f t="shared" si="1"/>
        <v>92</v>
      </c>
      <c r="AF22" t="s">
        <v>113</v>
      </c>
      <c r="AG22">
        <v>90</v>
      </c>
      <c r="AH22">
        <v>90</v>
      </c>
      <c r="AI22">
        <v>86</v>
      </c>
      <c r="AJ22">
        <v>80</v>
      </c>
      <c r="AK22">
        <v>90</v>
      </c>
      <c r="AL22" s="10">
        <f t="shared" si="2"/>
        <v>87.2</v>
      </c>
    </row>
    <row r="23" spans="1:38">
      <c r="A23" t="s">
        <v>114</v>
      </c>
      <c r="B23" s="4">
        <v>93.6</v>
      </c>
      <c r="C23" s="4">
        <v>93</v>
      </c>
      <c r="D23" s="4">
        <v>90.2</v>
      </c>
      <c r="E23" s="4">
        <v>93.8</v>
      </c>
      <c r="F23" s="4">
        <v>93.2</v>
      </c>
      <c r="G23">
        <f t="shared" si="3"/>
        <v>92.76</v>
      </c>
      <c r="H23">
        <f t="shared" si="4"/>
        <v>3.59999999999999</v>
      </c>
      <c r="I23">
        <f t="shared" si="5"/>
        <v>1</v>
      </c>
      <c r="J23">
        <v>64.6</v>
      </c>
      <c r="K23" t="s">
        <v>114</v>
      </c>
      <c r="L23">
        <v>95</v>
      </c>
      <c r="M23">
        <v>93</v>
      </c>
      <c r="N23">
        <v>90</v>
      </c>
      <c r="O23">
        <v>95</v>
      </c>
      <c r="P23">
        <v>94</v>
      </c>
      <c r="Q23" s="10">
        <f t="shared" si="6"/>
        <v>93.4</v>
      </c>
      <c r="R23" t="s">
        <v>114</v>
      </c>
      <c r="S23">
        <v>90</v>
      </c>
      <c r="T23">
        <v>92</v>
      </c>
      <c r="U23">
        <v>90</v>
      </c>
      <c r="V23">
        <v>92</v>
      </c>
      <c r="W23">
        <v>90</v>
      </c>
      <c r="X23" s="10">
        <f t="shared" si="0"/>
        <v>90.8</v>
      </c>
      <c r="Y23" t="s">
        <v>114</v>
      </c>
      <c r="Z23">
        <v>95</v>
      </c>
      <c r="AA23">
        <v>95</v>
      </c>
      <c r="AB23">
        <v>95</v>
      </c>
      <c r="AC23">
        <v>100</v>
      </c>
      <c r="AD23">
        <v>95</v>
      </c>
      <c r="AE23" s="10">
        <f t="shared" si="1"/>
        <v>96</v>
      </c>
      <c r="AF23" t="s">
        <v>114</v>
      </c>
      <c r="AG23">
        <v>90</v>
      </c>
      <c r="AH23">
        <v>93</v>
      </c>
      <c r="AI23">
        <v>85</v>
      </c>
      <c r="AJ23">
        <v>80</v>
      </c>
      <c r="AK23">
        <v>92</v>
      </c>
      <c r="AL23" s="10">
        <f t="shared" si="2"/>
        <v>88</v>
      </c>
    </row>
    <row r="24" spans="1:38">
      <c r="A24" t="s">
        <v>115</v>
      </c>
      <c r="B24" s="4">
        <v>19.8</v>
      </c>
      <c r="C24" s="4">
        <v>3</v>
      </c>
      <c r="D24" s="4">
        <v>19</v>
      </c>
      <c r="E24" s="4">
        <v>33.4</v>
      </c>
      <c r="F24" s="4">
        <v>22.6</v>
      </c>
      <c r="G24">
        <f t="shared" si="3"/>
        <v>19.56</v>
      </c>
      <c r="H24">
        <f t="shared" si="4"/>
        <v>30.4</v>
      </c>
      <c r="I24">
        <f t="shared" si="5"/>
        <v>1</v>
      </c>
      <c r="J24">
        <v>24.4</v>
      </c>
      <c r="K24" t="s">
        <v>115</v>
      </c>
      <c r="L24">
        <v>15</v>
      </c>
      <c r="M24">
        <v>3</v>
      </c>
      <c r="N24">
        <v>15</v>
      </c>
      <c r="O24">
        <v>25</v>
      </c>
      <c r="P24">
        <v>18</v>
      </c>
      <c r="Q24" s="10">
        <f t="shared" si="6"/>
        <v>15.2</v>
      </c>
      <c r="R24" t="s">
        <v>115</v>
      </c>
      <c r="S24">
        <v>20</v>
      </c>
      <c r="T24">
        <v>3</v>
      </c>
      <c r="U24">
        <v>20</v>
      </c>
      <c r="V24">
        <v>30</v>
      </c>
      <c r="W24">
        <v>22</v>
      </c>
      <c r="X24" s="10">
        <f t="shared" si="0"/>
        <v>19</v>
      </c>
      <c r="Y24" t="s">
        <v>115</v>
      </c>
      <c r="Z24">
        <v>30</v>
      </c>
      <c r="AA24">
        <v>3</v>
      </c>
      <c r="AB24">
        <v>30</v>
      </c>
      <c r="AC24">
        <v>70</v>
      </c>
      <c r="AD24">
        <v>35</v>
      </c>
      <c r="AE24" s="10">
        <f t="shared" si="1"/>
        <v>33.6</v>
      </c>
      <c r="AF24" t="s">
        <v>115</v>
      </c>
      <c r="AG24">
        <v>40</v>
      </c>
      <c r="AH24">
        <v>3</v>
      </c>
      <c r="AI24">
        <v>30</v>
      </c>
      <c r="AJ24">
        <v>50</v>
      </c>
      <c r="AK24">
        <v>40</v>
      </c>
      <c r="AL24" s="10">
        <f t="shared" si="2"/>
        <v>32.6</v>
      </c>
    </row>
    <row r="25" spans="1:38">
      <c r="A25" t="s">
        <v>116</v>
      </c>
      <c r="B25" s="4">
        <v>80.2</v>
      </c>
      <c r="C25" s="4">
        <v>25.2</v>
      </c>
      <c r="D25" s="4">
        <v>48.2</v>
      </c>
      <c r="E25" s="4">
        <v>8.6</v>
      </c>
      <c r="F25" s="4">
        <v>45.4</v>
      </c>
      <c r="G25">
        <f t="shared" si="3"/>
        <v>41.52</v>
      </c>
      <c r="H25">
        <f t="shared" si="4"/>
        <v>71.6</v>
      </c>
      <c r="I25">
        <f t="shared" si="5"/>
        <v>0</v>
      </c>
      <c r="J25">
        <v>57.2</v>
      </c>
      <c r="K25" t="s">
        <v>116</v>
      </c>
      <c r="L25">
        <v>80</v>
      </c>
      <c r="M25">
        <v>20</v>
      </c>
      <c r="N25">
        <v>35</v>
      </c>
      <c r="O25">
        <v>5</v>
      </c>
      <c r="P25">
        <v>35</v>
      </c>
      <c r="Q25" s="10">
        <f t="shared" si="6"/>
        <v>35</v>
      </c>
      <c r="R25" t="s">
        <v>116</v>
      </c>
      <c r="S25">
        <v>70</v>
      </c>
      <c r="T25">
        <v>20</v>
      </c>
      <c r="U25">
        <v>50</v>
      </c>
      <c r="V25">
        <v>10</v>
      </c>
      <c r="W25">
        <v>40</v>
      </c>
      <c r="X25" s="10">
        <f t="shared" si="0"/>
        <v>38</v>
      </c>
      <c r="Y25" t="s">
        <v>116</v>
      </c>
      <c r="Z25">
        <v>95</v>
      </c>
      <c r="AA25">
        <v>50</v>
      </c>
      <c r="AB25">
        <v>90</v>
      </c>
      <c r="AC25">
        <v>20</v>
      </c>
      <c r="AD25">
        <v>90</v>
      </c>
      <c r="AE25" s="10">
        <f t="shared" si="1"/>
        <v>69</v>
      </c>
      <c r="AF25" t="s">
        <v>116</v>
      </c>
      <c r="AG25">
        <v>85</v>
      </c>
      <c r="AH25">
        <v>40</v>
      </c>
      <c r="AI25">
        <v>80</v>
      </c>
      <c r="AJ25">
        <v>15</v>
      </c>
      <c r="AK25">
        <v>70</v>
      </c>
      <c r="AL25" s="10">
        <f t="shared" si="2"/>
        <v>58</v>
      </c>
    </row>
    <row r="26" spans="1:38">
      <c r="A26" t="s">
        <v>117</v>
      </c>
      <c r="B26" s="4">
        <v>90</v>
      </c>
      <c r="C26" s="4">
        <v>89.6</v>
      </c>
      <c r="D26" s="4">
        <v>87.2</v>
      </c>
      <c r="E26" s="4">
        <v>91.2</v>
      </c>
      <c r="F26" s="4">
        <v>87.4</v>
      </c>
      <c r="G26">
        <f t="shared" si="3"/>
        <v>89.08</v>
      </c>
      <c r="H26">
        <f t="shared" si="4"/>
        <v>4</v>
      </c>
      <c r="I26">
        <f t="shared" si="5"/>
        <v>1</v>
      </c>
      <c r="J26">
        <v>57.2</v>
      </c>
      <c r="K26" t="s">
        <v>117</v>
      </c>
      <c r="L26">
        <v>90</v>
      </c>
      <c r="M26">
        <v>90</v>
      </c>
      <c r="N26">
        <v>88</v>
      </c>
      <c r="O26">
        <v>92</v>
      </c>
      <c r="P26">
        <v>90</v>
      </c>
      <c r="Q26" s="10">
        <f t="shared" si="6"/>
        <v>90</v>
      </c>
      <c r="R26" t="s">
        <v>117</v>
      </c>
      <c r="S26">
        <v>88</v>
      </c>
      <c r="T26">
        <v>85</v>
      </c>
      <c r="U26">
        <v>82</v>
      </c>
      <c r="V26">
        <v>88</v>
      </c>
      <c r="W26">
        <v>75</v>
      </c>
      <c r="X26" s="10">
        <f t="shared" si="0"/>
        <v>83.6</v>
      </c>
      <c r="Y26" t="s">
        <v>117</v>
      </c>
      <c r="Z26">
        <v>95</v>
      </c>
      <c r="AA26">
        <v>95</v>
      </c>
      <c r="AB26">
        <v>95</v>
      </c>
      <c r="AC26">
        <v>100</v>
      </c>
      <c r="AD26">
        <v>95</v>
      </c>
      <c r="AE26" s="10">
        <f t="shared" si="1"/>
        <v>96</v>
      </c>
      <c r="AF26" t="s">
        <v>117</v>
      </c>
      <c r="AG26">
        <v>88</v>
      </c>
      <c r="AH26">
        <v>90</v>
      </c>
      <c r="AI26">
        <v>82</v>
      </c>
      <c r="AJ26">
        <v>80</v>
      </c>
      <c r="AK26">
        <v>88</v>
      </c>
      <c r="AL26" s="10">
        <f t="shared" si="2"/>
        <v>85.6</v>
      </c>
    </row>
    <row r="27" spans="1:38">
      <c r="A27" t="s">
        <v>118</v>
      </c>
      <c r="B27" s="4">
        <v>90</v>
      </c>
      <c r="C27" s="4">
        <v>89.6</v>
      </c>
      <c r="D27" s="4">
        <v>87.6</v>
      </c>
      <c r="E27" s="4">
        <v>88.4</v>
      </c>
      <c r="F27" s="4">
        <v>87.4</v>
      </c>
      <c r="G27">
        <f t="shared" si="3"/>
        <v>88.6</v>
      </c>
      <c r="H27">
        <f t="shared" si="4"/>
        <v>2.59999999999999</v>
      </c>
      <c r="I27">
        <f t="shared" si="5"/>
        <v>1</v>
      </c>
      <c r="J27">
        <v>57.2</v>
      </c>
      <c r="K27" t="s">
        <v>118</v>
      </c>
      <c r="L27">
        <v>90</v>
      </c>
      <c r="M27">
        <v>90</v>
      </c>
      <c r="N27">
        <v>88</v>
      </c>
      <c r="O27">
        <v>90</v>
      </c>
      <c r="P27">
        <v>90</v>
      </c>
      <c r="Q27" s="10">
        <f t="shared" si="6"/>
        <v>89.6</v>
      </c>
      <c r="R27" t="s">
        <v>118</v>
      </c>
      <c r="S27">
        <v>88</v>
      </c>
      <c r="T27">
        <v>85</v>
      </c>
      <c r="U27">
        <v>84</v>
      </c>
      <c r="V27">
        <v>80</v>
      </c>
      <c r="W27">
        <v>75</v>
      </c>
      <c r="X27" s="10">
        <f t="shared" si="0"/>
        <v>82.4</v>
      </c>
      <c r="Y27" t="s">
        <v>118</v>
      </c>
      <c r="Z27">
        <v>95</v>
      </c>
      <c r="AA27">
        <v>95</v>
      </c>
      <c r="AB27">
        <v>95</v>
      </c>
      <c r="AC27">
        <v>100</v>
      </c>
      <c r="AD27">
        <v>95</v>
      </c>
      <c r="AE27" s="10">
        <f t="shared" si="1"/>
        <v>96</v>
      </c>
      <c r="AF27" t="s">
        <v>118</v>
      </c>
      <c r="AG27">
        <v>88</v>
      </c>
      <c r="AH27">
        <v>90</v>
      </c>
      <c r="AI27">
        <v>82</v>
      </c>
      <c r="AJ27">
        <v>80</v>
      </c>
      <c r="AK27">
        <v>88</v>
      </c>
      <c r="AL27" s="10">
        <f t="shared" si="2"/>
        <v>85.6</v>
      </c>
    </row>
    <row r="28" spans="1:38">
      <c r="A28" t="s">
        <v>119</v>
      </c>
      <c r="B28" s="4">
        <v>82.2</v>
      </c>
      <c r="C28" s="4">
        <v>67.8</v>
      </c>
      <c r="D28" s="4">
        <v>73</v>
      </c>
      <c r="E28" s="4">
        <v>8.6</v>
      </c>
      <c r="F28" s="4">
        <v>59</v>
      </c>
      <c r="G28">
        <f t="shared" si="3"/>
        <v>58.12</v>
      </c>
      <c r="H28">
        <f t="shared" si="4"/>
        <v>73.6</v>
      </c>
      <c r="I28">
        <f t="shared" si="5"/>
        <v>0</v>
      </c>
      <c r="J28">
        <v>42.4</v>
      </c>
      <c r="K28" t="s">
        <v>119</v>
      </c>
      <c r="L28">
        <v>85</v>
      </c>
      <c r="M28">
        <v>62</v>
      </c>
      <c r="N28">
        <v>70</v>
      </c>
      <c r="O28">
        <v>5</v>
      </c>
      <c r="P28">
        <v>55</v>
      </c>
      <c r="Q28" s="10">
        <f t="shared" si="6"/>
        <v>55.4</v>
      </c>
      <c r="R28" t="s">
        <v>119</v>
      </c>
      <c r="S28">
        <v>65</v>
      </c>
      <c r="T28">
        <v>60</v>
      </c>
      <c r="U28">
        <v>68</v>
      </c>
      <c r="V28">
        <v>10</v>
      </c>
      <c r="W28">
        <v>48</v>
      </c>
      <c r="X28" s="10">
        <f t="shared" si="0"/>
        <v>50.2</v>
      </c>
      <c r="Y28" t="s">
        <v>119</v>
      </c>
      <c r="Z28">
        <v>95</v>
      </c>
      <c r="AA28">
        <v>95</v>
      </c>
      <c r="AB28">
        <v>92</v>
      </c>
      <c r="AC28">
        <v>20</v>
      </c>
      <c r="AD28">
        <v>90</v>
      </c>
      <c r="AE28" s="10">
        <f t="shared" si="1"/>
        <v>78.4</v>
      </c>
      <c r="AF28" t="s">
        <v>119</v>
      </c>
      <c r="AG28">
        <v>85</v>
      </c>
      <c r="AH28">
        <v>90</v>
      </c>
      <c r="AI28">
        <v>80</v>
      </c>
      <c r="AJ28">
        <v>15</v>
      </c>
      <c r="AK28">
        <v>70</v>
      </c>
      <c r="AL28" s="10">
        <f t="shared" si="2"/>
        <v>68</v>
      </c>
    </row>
    <row r="29" spans="1:38">
      <c r="A29" t="s">
        <v>120</v>
      </c>
      <c r="B29" s="4">
        <v>91.6</v>
      </c>
      <c r="C29" s="4">
        <v>94.2</v>
      </c>
      <c r="D29" s="4">
        <v>89.8</v>
      </c>
      <c r="E29" s="4">
        <v>89.4</v>
      </c>
      <c r="F29" s="4">
        <v>89.6</v>
      </c>
      <c r="G29">
        <f t="shared" si="3"/>
        <v>90.92</v>
      </c>
      <c r="H29">
        <f t="shared" si="4"/>
        <v>4.8</v>
      </c>
      <c r="I29">
        <f t="shared" si="5"/>
        <v>1</v>
      </c>
      <c r="J29">
        <v>63.6</v>
      </c>
      <c r="K29" t="s">
        <v>120</v>
      </c>
      <c r="L29">
        <v>92</v>
      </c>
      <c r="M29">
        <v>95</v>
      </c>
      <c r="N29">
        <v>90</v>
      </c>
      <c r="O29">
        <v>90</v>
      </c>
      <c r="P29">
        <v>90</v>
      </c>
      <c r="Q29" s="10">
        <f t="shared" si="6"/>
        <v>91.4</v>
      </c>
      <c r="R29" t="s">
        <v>120</v>
      </c>
      <c r="S29">
        <v>90</v>
      </c>
      <c r="T29">
        <v>93</v>
      </c>
      <c r="U29">
        <v>88</v>
      </c>
      <c r="V29">
        <v>85</v>
      </c>
      <c r="W29">
        <v>85</v>
      </c>
      <c r="X29" s="10">
        <f t="shared" si="0"/>
        <v>88.2</v>
      </c>
      <c r="Y29" t="s">
        <v>120</v>
      </c>
      <c r="Z29">
        <v>95</v>
      </c>
      <c r="AA29">
        <v>95</v>
      </c>
      <c r="AB29">
        <v>95</v>
      </c>
      <c r="AC29">
        <v>100</v>
      </c>
      <c r="AD29">
        <v>95</v>
      </c>
      <c r="AE29" s="10">
        <f t="shared" si="1"/>
        <v>96</v>
      </c>
      <c r="AF29" t="s">
        <v>120</v>
      </c>
      <c r="AG29">
        <v>88</v>
      </c>
      <c r="AH29">
        <v>90</v>
      </c>
      <c r="AI29">
        <v>85</v>
      </c>
      <c r="AJ29">
        <v>80</v>
      </c>
      <c r="AK29">
        <v>90</v>
      </c>
      <c r="AL29" s="10">
        <f t="shared" si="2"/>
        <v>86.6</v>
      </c>
    </row>
    <row r="30" spans="1:38">
      <c r="A30" t="s">
        <v>121</v>
      </c>
      <c r="B30" s="4">
        <v>0</v>
      </c>
      <c r="C30" s="4">
        <v>0</v>
      </c>
      <c r="D30" s="4">
        <v>5</v>
      </c>
      <c r="E30" s="4">
        <v>0</v>
      </c>
      <c r="F30" s="4">
        <v>0</v>
      </c>
      <c r="G30">
        <f t="shared" si="3"/>
        <v>1</v>
      </c>
      <c r="H30">
        <f t="shared" si="4"/>
        <v>5</v>
      </c>
      <c r="I30">
        <f t="shared" si="5"/>
        <v>1</v>
      </c>
      <c r="J30">
        <v>0</v>
      </c>
      <c r="K30" t="s">
        <v>121</v>
      </c>
      <c r="L30">
        <v>0</v>
      </c>
      <c r="M30">
        <v>0</v>
      </c>
      <c r="N30">
        <v>5</v>
      </c>
      <c r="O30">
        <v>0</v>
      </c>
      <c r="P30">
        <v>0</v>
      </c>
      <c r="Q30" s="10">
        <f t="shared" si="6"/>
        <v>1</v>
      </c>
      <c r="R30" t="s">
        <v>121</v>
      </c>
      <c r="S30">
        <v>0</v>
      </c>
      <c r="T30">
        <v>0</v>
      </c>
      <c r="U30">
        <v>5</v>
      </c>
      <c r="V30">
        <v>0</v>
      </c>
      <c r="W30">
        <v>0</v>
      </c>
      <c r="X30" s="10">
        <f t="shared" si="0"/>
        <v>1</v>
      </c>
      <c r="Y30" t="s">
        <v>121</v>
      </c>
      <c r="Z30">
        <v>0</v>
      </c>
      <c r="AA30">
        <v>0</v>
      </c>
      <c r="AB30">
        <v>5</v>
      </c>
      <c r="AC30">
        <v>0</v>
      </c>
      <c r="AD30">
        <v>0</v>
      </c>
      <c r="AE30" s="10">
        <f t="shared" si="1"/>
        <v>1</v>
      </c>
      <c r="AF30" t="s">
        <v>121</v>
      </c>
      <c r="AG30">
        <v>0</v>
      </c>
      <c r="AH30">
        <v>0</v>
      </c>
      <c r="AI30">
        <v>5</v>
      </c>
      <c r="AJ30">
        <v>0</v>
      </c>
      <c r="AK30">
        <v>0</v>
      </c>
      <c r="AL30" s="10">
        <f t="shared" si="2"/>
        <v>1</v>
      </c>
    </row>
    <row r="31" spans="1:38">
      <c r="A31" t="s">
        <v>122</v>
      </c>
      <c r="B31" s="4">
        <v>23</v>
      </c>
      <c r="C31" s="4">
        <v>17.6</v>
      </c>
      <c r="D31" s="4">
        <v>32.6</v>
      </c>
      <c r="E31" s="4">
        <v>8.6</v>
      </c>
      <c r="F31" s="4">
        <v>36.6</v>
      </c>
      <c r="G31">
        <f t="shared" si="3"/>
        <v>23.68</v>
      </c>
      <c r="H31">
        <f t="shared" si="4"/>
        <v>28</v>
      </c>
      <c r="I31">
        <f t="shared" si="5"/>
        <v>1</v>
      </c>
      <c r="J31">
        <v>33.6</v>
      </c>
      <c r="K31" t="s">
        <v>122</v>
      </c>
      <c r="L31">
        <v>20</v>
      </c>
      <c r="M31">
        <v>12</v>
      </c>
      <c r="N31">
        <v>25</v>
      </c>
      <c r="O31">
        <v>5</v>
      </c>
      <c r="P31">
        <v>25</v>
      </c>
      <c r="Q31" s="10">
        <f t="shared" si="6"/>
        <v>17.4</v>
      </c>
      <c r="R31" t="s">
        <v>122</v>
      </c>
      <c r="S31">
        <v>25</v>
      </c>
      <c r="T31">
        <v>10</v>
      </c>
      <c r="U31">
        <v>30</v>
      </c>
      <c r="V31">
        <v>10</v>
      </c>
      <c r="W31">
        <v>30</v>
      </c>
      <c r="X31" s="10">
        <f t="shared" si="0"/>
        <v>21</v>
      </c>
      <c r="Y31" t="s">
        <v>122</v>
      </c>
      <c r="Z31">
        <v>30</v>
      </c>
      <c r="AA31">
        <v>50</v>
      </c>
      <c r="AB31">
        <v>60</v>
      </c>
      <c r="AC31">
        <v>20</v>
      </c>
      <c r="AD31">
        <v>90</v>
      </c>
      <c r="AE31" s="10">
        <f t="shared" si="1"/>
        <v>50</v>
      </c>
      <c r="AF31" t="s">
        <v>122</v>
      </c>
      <c r="AG31">
        <v>30</v>
      </c>
      <c r="AH31">
        <v>30</v>
      </c>
      <c r="AI31">
        <v>55</v>
      </c>
      <c r="AJ31">
        <v>15</v>
      </c>
      <c r="AK31">
        <v>60</v>
      </c>
      <c r="AL31" s="10">
        <f t="shared" si="2"/>
        <v>38</v>
      </c>
    </row>
    <row r="32" spans="1:38">
      <c r="A32" t="s">
        <v>123</v>
      </c>
      <c r="B32" s="4">
        <v>23</v>
      </c>
      <c r="C32" s="4">
        <v>17.6</v>
      </c>
      <c r="D32" s="4">
        <v>32.6</v>
      </c>
      <c r="E32" s="4">
        <v>8.6</v>
      </c>
      <c r="F32" s="4">
        <v>36.6</v>
      </c>
      <c r="G32">
        <f t="shared" si="3"/>
        <v>23.68</v>
      </c>
      <c r="H32">
        <f t="shared" si="4"/>
        <v>28</v>
      </c>
      <c r="I32">
        <f t="shared" si="5"/>
        <v>1</v>
      </c>
      <c r="J32">
        <v>32.4</v>
      </c>
      <c r="K32" t="s">
        <v>123</v>
      </c>
      <c r="L32">
        <v>20</v>
      </c>
      <c r="M32">
        <v>12</v>
      </c>
      <c r="N32">
        <v>25</v>
      </c>
      <c r="O32">
        <v>5</v>
      </c>
      <c r="P32">
        <v>25</v>
      </c>
      <c r="Q32" s="10">
        <f t="shared" si="6"/>
        <v>17.4</v>
      </c>
      <c r="R32" t="s">
        <v>123</v>
      </c>
      <c r="S32">
        <v>25</v>
      </c>
      <c r="T32">
        <v>10</v>
      </c>
      <c r="U32">
        <v>30</v>
      </c>
      <c r="V32">
        <v>10</v>
      </c>
      <c r="W32">
        <v>30</v>
      </c>
      <c r="X32" s="10">
        <f t="shared" si="0"/>
        <v>21</v>
      </c>
      <c r="Y32" t="s">
        <v>123</v>
      </c>
      <c r="Z32">
        <v>30</v>
      </c>
      <c r="AA32">
        <v>50</v>
      </c>
      <c r="AB32">
        <v>60</v>
      </c>
      <c r="AC32">
        <v>20</v>
      </c>
      <c r="AD32">
        <v>90</v>
      </c>
      <c r="AE32" s="10">
        <f t="shared" si="1"/>
        <v>50</v>
      </c>
      <c r="AF32" t="s">
        <v>123</v>
      </c>
      <c r="AG32">
        <v>30</v>
      </c>
      <c r="AH32">
        <v>30</v>
      </c>
      <c r="AI32">
        <v>55</v>
      </c>
      <c r="AJ32">
        <v>15</v>
      </c>
      <c r="AK32">
        <v>60</v>
      </c>
      <c r="AL32" s="10">
        <f t="shared" si="2"/>
        <v>38</v>
      </c>
    </row>
    <row r="33" spans="1:38">
      <c r="A33" t="s">
        <v>124</v>
      </c>
      <c r="B33" s="4">
        <v>82.4</v>
      </c>
      <c r="C33" s="4">
        <v>76.8</v>
      </c>
      <c r="D33" s="4">
        <v>82.2</v>
      </c>
      <c r="E33" s="4">
        <v>72.4</v>
      </c>
      <c r="F33" s="4">
        <v>82.2</v>
      </c>
      <c r="G33">
        <f t="shared" si="3"/>
        <v>79.2</v>
      </c>
      <c r="H33">
        <f t="shared" si="4"/>
        <v>10</v>
      </c>
      <c r="I33">
        <f t="shared" si="5"/>
        <v>1</v>
      </c>
      <c r="J33">
        <v>60.2</v>
      </c>
      <c r="K33" t="s">
        <v>124</v>
      </c>
      <c r="L33">
        <v>85</v>
      </c>
      <c r="M33">
        <v>80</v>
      </c>
      <c r="N33">
        <v>85</v>
      </c>
      <c r="O33">
        <v>75</v>
      </c>
      <c r="P33">
        <v>85</v>
      </c>
      <c r="Q33" s="10">
        <f t="shared" si="6"/>
        <v>82</v>
      </c>
      <c r="R33" t="s">
        <v>124</v>
      </c>
      <c r="S33">
        <v>75</v>
      </c>
      <c r="T33">
        <v>58</v>
      </c>
      <c r="U33">
        <v>72</v>
      </c>
      <c r="V33">
        <v>65</v>
      </c>
      <c r="W33">
        <v>68</v>
      </c>
      <c r="X33" s="10">
        <f t="shared" si="0"/>
        <v>67.6</v>
      </c>
      <c r="Y33" t="s">
        <v>124</v>
      </c>
      <c r="Z33">
        <v>80</v>
      </c>
      <c r="AA33">
        <v>85</v>
      </c>
      <c r="AB33">
        <v>85</v>
      </c>
      <c r="AC33">
        <v>70</v>
      </c>
      <c r="AD33">
        <v>90</v>
      </c>
      <c r="AE33" s="10">
        <f t="shared" si="1"/>
        <v>82</v>
      </c>
      <c r="AF33" t="s">
        <v>124</v>
      </c>
      <c r="AG33">
        <v>85</v>
      </c>
      <c r="AH33">
        <v>88</v>
      </c>
      <c r="AI33">
        <v>82</v>
      </c>
      <c r="AJ33">
        <v>75</v>
      </c>
      <c r="AK33">
        <v>85</v>
      </c>
      <c r="AL33" s="10">
        <f t="shared" si="2"/>
        <v>83</v>
      </c>
    </row>
    <row r="34" spans="1:38">
      <c r="A34" t="s">
        <v>125</v>
      </c>
      <c r="B34" s="4">
        <v>82.4</v>
      </c>
      <c r="C34" s="4">
        <v>76.8</v>
      </c>
      <c r="D34" s="4">
        <v>82.2</v>
      </c>
      <c r="E34" s="4">
        <v>72.4</v>
      </c>
      <c r="F34" s="4">
        <v>82.2</v>
      </c>
      <c r="G34">
        <f t="shared" si="3"/>
        <v>79.2</v>
      </c>
      <c r="H34">
        <f t="shared" si="4"/>
        <v>10</v>
      </c>
      <c r="I34">
        <f t="shared" si="5"/>
        <v>1</v>
      </c>
      <c r="J34">
        <v>60.2</v>
      </c>
      <c r="K34" t="s">
        <v>125</v>
      </c>
      <c r="L34">
        <v>85</v>
      </c>
      <c r="M34">
        <v>80</v>
      </c>
      <c r="N34">
        <v>85</v>
      </c>
      <c r="O34">
        <v>75</v>
      </c>
      <c r="P34">
        <v>85</v>
      </c>
      <c r="Q34" s="10">
        <f t="shared" si="6"/>
        <v>82</v>
      </c>
      <c r="R34" t="s">
        <v>125</v>
      </c>
      <c r="S34">
        <v>75</v>
      </c>
      <c r="T34">
        <v>58</v>
      </c>
      <c r="U34">
        <v>72</v>
      </c>
      <c r="V34">
        <v>65</v>
      </c>
      <c r="W34">
        <v>68</v>
      </c>
      <c r="X34" s="10">
        <f t="shared" si="0"/>
        <v>67.6</v>
      </c>
      <c r="Y34" t="s">
        <v>125</v>
      </c>
      <c r="Z34">
        <v>80</v>
      </c>
      <c r="AA34">
        <v>85</v>
      </c>
      <c r="AB34">
        <v>85</v>
      </c>
      <c r="AC34">
        <v>70</v>
      </c>
      <c r="AD34">
        <v>90</v>
      </c>
      <c r="AE34" s="10">
        <f t="shared" si="1"/>
        <v>82</v>
      </c>
      <c r="AF34" t="s">
        <v>125</v>
      </c>
      <c r="AG34">
        <v>85</v>
      </c>
      <c r="AH34">
        <v>88</v>
      </c>
      <c r="AI34">
        <v>82</v>
      </c>
      <c r="AJ34">
        <v>75</v>
      </c>
      <c r="AK34">
        <v>85</v>
      </c>
      <c r="AL34" s="10">
        <f t="shared" si="2"/>
        <v>83</v>
      </c>
    </row>
    <row r="35" spans="1:38">
      <c r="A35" t="s">
        <v>126</v>
      </c>
      <c r="B35" s="4">
        <v>91.6</v>
      </c>
      <c r="C35" s="4">
        <v>94.2</v>
      </c>
      <c r="D35" s="4">
        <v>89.8</v>
      </c>
      <c r="E35" s="4">
        <v>89.4</v>
      </c>
      <c r="F35" s="4">
        <v>89.6</v>
      </c>
      <c r="G35">
        <f t="shared" si="3"/>
        <v>90.92</v>
      </c>
      <c r="H35">
        <f t="shared" si="4"/>
        <v>4.8</v>
      </c>
      <c r="I35">
        <f t="shared" si="5"/>
        <v>1</v>
      </c>
      <c r="J35">
        <v>63</v>
      </c>
      <c r="K35" t="s">
        <v>126</v>
      </c>
      <c r="L35">
        <v>92</v>
      </c>
      <c r="M35">
        <v>95</v>
      </c>
      <c r="N35">
        <v>90</v>
      </c>
      <c r="O35">
        <v>90</v>
      </c>
      <c r="P35">
        <v>90</v>
      </c>
      <c r="Q35" s="10">
        <f t="shared" si="6"/>
        <v>91.4</v>
      </c>
      <c r="R35" t="s">
        <v>126</v>
      </c>
      <c r="S35">
        <v>90</v>
      </c>
      <c r="T35">
        <v>93</v>
      </c>
      <c r="U35">
        <v>88</v>
      </c>
      <c r="V35">
        <v>85</v>
      </c>
      <c r="W35">
        <v>85</v>
      </c>
      <c r="X35" s="10">
        <f t="shared" si="0"/>
        <v>88.2</v>
      </c>
      <c r="Y35" t="s">
        <v>126</v>
      </c>
      <c r="Z35">
        <v>95</v>
      </c>
      <c r="AA35">
        <v>95</v>
      </c>
      <c r="AB35">
        <v>95</v>
      </c>
      <c r="AC35">
        <v>100</v>
      </c>
      <c r="AD35">
        <v>95</v>
      </c>
      <c r="AE35" s="10">
        <f t="shared" si="1"/>
        <v>96</v>
      </c>
      <c r="AF35" t="s">
        <v>126</v>
      </c>
      <c r="AG35">
        <v>88</v>
      </c>
      <c r="AH35">
        <v>90</v>
      </c>
      <c r="AI35">
        <v>85</v>
      </c>
      <c r="AJ35">
        <v>80</v>
      </c>
      <c r="AK35">
        <v>90</v>
      </c>
      <c r="AL35" s="10">
        <f t="shared" si="2"/>
        <v>86.6</v>
      </c>
    </row>
    <row r="36" spans="1:38">
      <c r="A36" t="s">
        <v>127</v>
      </c>
      <c r="B36" s="4">
        <v>75.2</v>
      </c>
      <c r="C36" s="4">
        <v>75.6</v>
      </c>
      <c r="D36" s="4">
        <v>89.4</v>
      </c>
      <c r="E36" s="4">
        <v>48</v>
      </c>
      <c r="F36" s="4">
        <v>93.2</v>
      </c>
      <c r="G36">
        <f t="shared" si="3"/>
        <v>76.28</v>
      </c>
      <c r="H36">
        <f t="shared" si="4"/>
        <v>45.2</v>
      </c>
      <c r="I36">
        <f t="shared" si="5"/>
        <v>0</v>
      </c>
      <c r="J36">
        <v>65.2</v>
      </c>
      <c r="K36" t="s">
        <v>127</v>
      </c>
      <c r="L36">
        <v>70</v>
      </c>
      <c r="M36">
        <v>70</v>
      </c>
      <c r="N36">
        <v>90</v>
      </c>
      <c r="O36">
        <v>30</v>
      </c>
      <c r="P36">
        <v>94</v>
      </c>
      <c r="Q36" s="10">
        <f t="shared" si="6"/>
        <v>70.8</v>
      </c>
      <c r="R36" t="s">
        <v>127</v>
      </c>
      <c r="S36">
        <v>75</v>
      </c>
      <c r="T36">
        <v>75</v>
      </c>
      <c r="U36">
        <v>86</v>
      </c>
      <c r="V36">
        <v>60</v>
      </c>
      <c r="W36">
        <v>90</v>
      </c>
      <c r="X36" s="10">
        <f t="shared" si="0"/>
        <v>77.2</v>
      </c>
      <c r="Y36" t="s">
        <v>127</v>
      </c>
      <c r="Z36">
        <v>95</v>
      </c>
      <c r="AA36">
        <v>95</v>
      </c>
      <c r="AB36">
        <v>95</v>
      </c>
      <c r="AC36">
        <v>100</v>
      </c>
      <c r="AD36">
        <v>95</v>
      </c>
      <c r="AE36" s="10">
        <f t="shared" si="1"/>
        <v>96</v>
      </c>
      <c r="AF36" t="s">
        <v>127</v>
      </c>
      <c r="AG36">
        <v>85</v>
      </c>
      <c r="AH36">
        <v>90</v>
      </c>
      <c r="AI36">
        <v>85</v>
      </c>
      <c r="AJ36">
        <v>75</v>
      </c>
      <c r="AK36">
        <v>92</v>
      </c>
      <c r="AL36" s="10">
        <f t="shared" si="2"/>
        <v>85.4</v>
      </c>
    </row>
    <row r="37" spans="1:38">
      <c r="A37" t="s">
        <v>128</v>
      </c>
      <c r="B37" s="4">
        <v>0</v>
      </c>
      <c r="C37" s="4">
        <v>28.8</v>
      </c>
      <c r="D37" s="4">
        <v>5</v>
      </c>
      <c r="E37" s="4">
        <v>0</v>
      </c>
      <c r="F37" s="4">
        <v>0</v>
      </c>
      <c r="G37">
        <f t="shared" si="3"/>
        <v>6.76</v>
      </c>
      <c r="H37">
        <f t="shared" si="4"/>
        <v>28.8</v>
      </c>
      <c r="I37">
        <f t="shared" si="5"/>
        <v>1</v>
      </c>
      <c r="J37">
        <v>0</v>
      </c>
      <c r="K37" t="s">
        <v>128</v>
      </c>
      <c r="L37">
        <v>0</v>
      </c>
      <c r="M37">
        <v>22</v>
      </c>
      <c r="N37">
        <v>5</v>
      </c>
      <c r="O37">
        <v>0</v>
      </c>
      <c r="P37">
        <v>0</v>
      </c>
      <c r="Q37" s="10">
        <f t="shared" si="6"/>
        <v>5.4</v>
      </c>
      <c r="R37" t="s">
        <v>128</v>
      </c>
      <c r="S37">
        <v>0</v>
      </c>
      <c r="T37">
        <v>28</v>
      </c>
      <c r="U37">
        <v>5</v>
      </c>
      <c r="V37">
        <v>0</v>
      </c>
      <c r="W37">
        <v>0</v>
      </c>
      <c r="X37" s="10">
        <f t="shared" si="0"/>
        <v>6.6</v>
      </c>
      <c r="Y37" t="s">
        <v>128</v>
      </c>
      <c r="Z37">
        <v>0</v>
      </c>
      <c r="AA37">
        <v>50</v>
      </c>
      <c r="AB37">
        <v>5</v>
      </c>
      <c r="AC37">
        <v>0</v>
      </c>
      <c r="AD37">
        <v>0</v>
      </c>
      <c r="AE37" s="10">
        <f t="shared" si="1"/>
        <v>11</v>
      </c>
      <c r="AF37" t="s">
        <v>128</v>
      </c>
      <c r="AG37">
        <v>0</v>
      </c>
      <c r="AH37">
        <v>50</v>
      </c>
      <c r="AI37">
        <v>5</v>
      </c>
      <c r="AJ37">
        <v>0</v>
      </c>
      <c r="AK37">
        <v>0</v>
      </c>
      <c r="AL37" s="10">
        <f t="shared" si="2"/>
        <v>11</v>
      </c>
    </row>
    <row r="38" spans="1:38">
      <c r="A38" t="s">
        <v>129</v>
      </c>
      <c r="B38" s="4">
        <v>36</v>
      </c>
      <c r="C38" s="4">
        <v>28.8</v>
      </c>
      <c r="D38" s="4">
        <v>42.2</v>
      </c>
      <c r="E38" s="4">
        <v>10.2</v>
      </c>
      <c r="F38" s="4">
        <v>40.6</v>
      </c>
      <c r="G38">
        <f t="shared" ref="G38:G69" si="7">AVERAGE(B38:F38)</f>
        <v>31.56</v>
      </c>
      <c r="H38">
        <f t="shared" ref="H38:H69" si="8">MAX(B38:F38)-MIN(B38:F38)</f>
        <v>32</v>
      </c>
      <c r="I38">
        <f t="shared" si="5"/>
        <v>1</v>
      </c>
      <c r="J38">
        <v>26.6</v>
      </c>
      <c r="K38" t="s">
        <v>129</v>
      </c>
      <c r="L38">
        <v>30</v>
      </c>
      <c r="M38">
        <v>22</v>
      </c>
      <c r="N38">
        <v>35</v>
      </c>
      <c r="O38">
        <v>5</v>
      </c>
      <c r="P38">
        <v>30</v>
      </c>
      <c r="Q38" s="10">
        <f t="shared" ref="Q38:Q69" si="9">AVERAGE(L38:P38)</f>
        <v>24.4</v>
      </c>
      <c r="R38" t="s">
        <v>129</v>
      </c>
      <c r="S38">
        <v>40</v>
      </c>
      <c r="T38">
        <v>28</v>
      </c>
      <c r="U38">
        <v>40</v>
      </c>
      <c r="V38">
        <v>15</v>
      </c>
      <c r="W38">
        <v>35</v>
      </c>
      <c r="X38" s="10">
        <f t="shared" si="0"/>
        <v>31.6</v>
      </c>
      <c r="Y38" t="s">
        <v>129</v>
      </c>
      <c r="Z38">
        <v>50</v>
      </c>
      <c r="AA38">
        <v>50</v>
      </c>
      <c r="AB38">
        <v>70</v>
      </c>
      <c r="AC38">
        <v>25</v>
      </c>
      <c r="AD38">
        <v>90</v>
      </c>
      <c r="AE38" s="10">
        <f t="shared" si="1"/>
        <v>57</v>
      </c>
      <c r="AF38" t="s">
        <v>129</v>
      </c>
      <c r="AG38">
        <v>50</v>
      </c>
      <c r="AH38">
        <v>50</v>
      </c>
      <c r="AI38">
        <v>60</v>
      </c>
      <c r="AJ38">
        <v>15</v>
      </c>
      <c r="AK38">
        <v>60</v>
      </c>
      <c r="AL38" s="10">
        <f t="shared" si="2"/>
        <v>47</v>
      </c>
    </row>
    <row r="39" spans="1:38">
      <c r="A39" t="s">
        <v>130</v>
      </c>
      <c r="B39" s="4">
        <v>91.6</v>
      </c>
      <c r="C39" s="4">
        <v>93</v>
      </c>
      <c r="D39" s="4">
        <v>90.2</v>
      </c>
      <c r="E39" s="4">
        <v>93.8</v>
      </c>
      <c r="F39" s="4">
        <v>93.2</v>
      </c>
      <c r="G39">
        <f t="shared" si="7"/>
        <v>92.36</v>
      </c>
      <c r="H39">
        <f t="shared" si="8"/>
        <v>3.59999999999999</v>
      </c>
      <c r="I39">
        <f t="shared" si="5"/>
        <v>1</v>
      </c>
      <c r="J39">
        <v>63.8</v>
      </c>
      <c r="K39" t="s">
        <v>130</v>
      </c>
      <c r="L39">
        <v>92</v>
      </c>
      <c r="M39">
        <v>93</v>
      </c>
      <c r="N39">
        <v>90</v>
      </c>
      <c r="O39">
        <v>95</v>
      </c>
      <c r="P39">
        <v>94</v>
      </c>
      <c r="Q39" s="10">
        <f t="shared" si="9"/>
        <v>92.8</v>
      </c>
      <c r="R39" t="s">
        <v>130</v>
      </c>
      <c r="S39">
        <v>90</v>
      </c>
      <c r="T39">
        <v>92</v>
      </c>
      <c r="U39">
        <v>90</v>
      </c>
      <c r="V39">
        <v>92</v>
      </c>
      <c r="W39">
        <v>90</v>
      </c>
      <c r="X39" s="10">
        <f t="shared" si="0"/>
        <v>90.8</v>
      </c>
      <c r="Y39" t="s">
        <v>130</v>
      </c>
      <c r="Z39">
        <v>95</v>
      </c>
      <c r="AA39">
        <v>95</v>
      </c>
      <c r="AB39">
        <v>95</v>
      </c>
      <c r="AC39">
        <v>100</v>
      </c>
      <c r="AD39">
        <v>95</v>
      </c>
      <c r="AE39" s="10">
        <f t="shared" si="1"/>
        <v>96</v>
      </c>
      <c r="AF39" t="s">
        <v>130</v>
      </c>
      <c r="AG39">
        <v>88</v>
      </c>
      <c r="AH39">
        <v>93</v>
      </c>
      <c r="AI39">
        <v>85</v>
      </c>
      <c r="AJ39">
        <v>80</v>
      </c>
      <c r="AK39">
        <v>92</v>
      </c>
      <c r="AL39" s="10">
        <f t="shared" si="2"/>
        <v>87.6</v>
      </c>
    </row>
    <row r="40" spans="1:38">
      <c r="A40" t="s">
        <v>131</v>
      </c>
      <c r="B40" s="4">
        <v>84.8</v>
      </c>
      <c r="C40" s="4">
        <v>88</v>
      </c>
      <c r="D40" s="4">
        <v>87.3</v>
      </c>
      <c r="E40" s="4">
        <v>83.4</v>
      </c>
      <c r="F40" s="4">
        <v>89</v>
      </c>
      <c r="G40">
        <f t="shared" si="7"/>
        <v>86.5</v>
      </c>
      <c r="H40">
        <f t="shared" si="8"/>
        <v>5.59999999999999</v>
      </c>
      <c r="I40">
        <f t="shared" si="5"/>
        <v>1</v>
      </c>
      <c r="J40">
        <v>56.4</v>
      </c>
      <c r="K40" t="s">
        <v>131</v>
      </c>
      <c r="L40">
        <v>85</v>
      </c>
      <c r="M40">
        <v>88</v>
      </c>
      <c r="N40">
        <v>88</v>
      </c>
      <c r="O40">
        <v>85</v>
      </c>
      <c r="P40">
        <v>90</v>
      </c>
      <c r="Q40" s="10">
        <f t="shared" si="9"/>
        <v>87.2</v>
      </c>
      <c r="R40" t="s">
        <v>131</v>
      </c>
      <c r="S40">
        <v>78</v>
      </c>
      <c r="T40">
        <v>83</v>
      </c>
      <c r="U40">
        <v>82</v>
      </c>
      <c r="V40">
        <v>70</v>
      </c>
      <c r="W40">
        <v>82</v>
      </c>
      <c r="X40" s="10">
        <f t="shared" si="0"/>
        <v>79</v>
      </c>
      <c r="Y40" t="s">
        <v>131</v>
      </c>
      <c r="Z40">
        <v>95</v>
      </c>
      <c r="AA40">
        <v>95</v>
      </c>
      <c r="AB40">
        <v>95</v>
      </c>
      <c r="AC40">
        <v>100</v>
      </c>
      <c r="AD40">
        <v>95</v>
      </c>
      <c r="AE40" s="10">
        <f t="shared" si="1"/>
        <v>96</v>
      </c>
      <c r="AF40" t="s">
        <v>131</v>
      </c>
      <c r="AG40">
        <v>85</v>
      </c>
      <c r="AH40">
        <v>90</v>
      </c>
      <c r="AI40">
        <v>84</v>
      </c>
      <c r="AJ40">
        <v>80</v>
      </c>
      <c r="AK40">
        <v>90</v>
      </c>
      <c r="AL40" s="10">
        <f t="shared" si="2"/>
        <v>85.8</v>
      </c>
    </row>
    <row r="41" s="5" customFormat="1" spans="1:38">
      <c r="A41" s="5" t="s">
        <v>132</v>
      </c>
      <c r="B41" s="6">
        <v>89.8</v>
      </c>
      <c r="C41" s="6">
        <v>92.8</v>
      </c>
      <c r="D41" s="6">
        <v>93</v>
      </c>
      <c r="E41" s="6">
        <v>91</v>
      </c>
      <c r="F41" s="6">
        <v>92</v>
      </c>
      <c r="G41">
        <f t="shared" si="7"/>
        <v>91.72</v>
      </c>
      <c r="H41">
        <f t="shared" si="8"/>
        <v>3.2</v>
      </c>
      <c r="I41" s="5">
        <f t="shared" si="5"/>
        <v>1</v>
      </c>
      <c r="J41" s="6">
        <v>79.6</v>
      </c>
      <c r="K41" s="5" t="s">
        <v>132</v>
      </c>
      <c r="L41" s="5">
        <v>90</v>
      </c>
      <c r="M41" s="5">
        <v>95</v>
      </c>
      <c r="N41" s="5">
        <v>95</v>
      </c>
      <c r="O41" s="5">
        <v>92</v>
      </c>
      <c r="P41" s="5">
        <v>92</v>
      </c>
      <c r="Q41" s="10">
        <f t="shared" si="9"/>
        <v>92.8</v>
      </c>
      <c r="R41" s="5" t="s">
        <v>132</v>
      </c>
      <c r="S41" s="5">
        <v>85</v>
      </c>
      <c r="T41" s="5">
        <v>88</v>
      </c>
      <c r="U41" s="5">
        <v>88</v>
      </c>
      <c r="V41" s="5">
        <v>88</v>
      </c>
      <c r="W41" s="5">
        <v>90</v>
      </c>
      <c r="X41" s="10">
        <f t="shared" si="0"/>
        <v>87.8</v>
      </c>
      <c r="Y41" s="5" t="s">
        <v>132</v>
      </c>
      <c r="Z41" s="5">
        <v>100</v>
      </c>
      <c r="AA41" s="5">
        <v>92</v>
      </c>
      <c r="AB41" s="5">
        <v>95</v>
      </c>
      <c r="AC41" s="5">
        <v>95</v>
      </c>
      <c r="AD41" s="5">
        <v>95</v>
      </c>
      <c r="AE41" s="10">
        <f t="shared" si="1"/>
        <v>95.4</v>
      </c>
      <c r="AF41" s="5" t="s">
        <v>132</v>
      </c>
      <c r="AG41" s="5">
        <v>85</v>
      </c>
      <c r="AH41" s="5">
        <v>90</v>
      </c>
      <c r="AI41" s="5">
        <v>88</v>
      </c>
      <c r="AJ41" s="5">
        <v>85</v>
      </c>
      <c r="AK41" s="5">
        <v>92</v>
      </c>
      <c r="AL41" s="10">
        <f t="shared" si="2"/>
        <v>88</v>
      </c>
    </row>
    <row r="42" s="5" customFormat="1" spans="1:38">
      <c r="A42" s="5" t="s">
        <v>133</v>
      </c>
      <c r="B42" s="6">
        <v>75.6</v>
      </c>
      <c r="C42" s="6">
        <v>65.8</v>
      </c>
      <c r="D42" s="6">
        <v>75.7</v>
      </c>
      <c r="E42" s="6">
        <v>56</v>
      </c>
      <c r="F42" s="6">
        <v>73.4</v>
      </c>
      <c r="G42">
        <f t="shared" si="7"/>
        <v>69.3</v>
      </c>
      <c r="H42">
        <f t="shared" si="8"/>
        <v>19.7</v>
      </c>
      <c r="I42" s="5">
        <f t="shared" si="5"/>
        <v>0</v>
      </c>
      <c r="J42" s="6">
        <v>59.6</v>
      </c>
      <c r="K42" s="5" t="s">
        <v>133</v>
      </c>
      <c r="L42" s="5">
        <v>72</v>
      </c>
      <c r="M42" s="5">
        <v>65</v>
      </c>
      <c r="N42" s="5">
        <v>72</v>
      </c>
      <c r="O42" s="5">
        <v>48</v>
      </c>
      <c r="P42" s="5">
        <v>70</v>
      </c>
      <c r="Q42" s="10">
        <f t="shared" si="9"/>
        <v>65.4</v>
      </c>
      <c r="R42" s="5" t="s">
        <v>133</v>
      </c>
      <c r="S42" s="5">
        <v>70</v>
      </c>
      <c r="T42" s="5">
        <v>50</v>
      </c>
      <c r="U42" s="5">
        <v>72</v>
      </c>
      <c r="V42" s="5">
        <v>55</v>
      </c>
      <c r="W42" s="5">
        <v>68</v>
      </c>
      <c r="X42" s="10">
        <f t="shared" si="0"/>
        <v>63</v>
      </c>
      <c r="Y42" s="5" t="s">
        <v>133</v>
      </c>
      <c r="Z42" s="5">
        <v>100</v>
      </c>
      <c r="AA42" s="5">
        <v>90</v>
      </c>
      <c r="AB42" s="5">
        <v>92</v>
      </c>
      <c r="AC42" s="5">
        <v>88</v>
      </c>
      <c r="AD42" s="5">
        <v>95</v>
      </c>
      <c r="AE42" s="10">
        <f t="shared" si="1"/>
        <v>93</v>
      </c>
      <c r="AF42" s="5" t="s">
        <v>133</v>
      </c>
      <c r="AG42" s="5">
        <v>80</v>
      </c>
      <c r="AH42" s="5">
        <v>75</v>
      </c>
      <c r="AI42" s="5">
        <v>88</v>
      </c>
      <c r="AJ42" s="5">
        <v>70</v>
      </c>
      <c r="AK42" s="5">
        <v>80</v>
      </c>
      <c r="AL42" s="10">
        <f t="shared" si="2"/>
        <v>78.6</v>
      </c>
    </row>
    <row r="43" s="5" customFormat="1" spans="1:38">
      <c r="A43" s="5" t="s">
        <v>134</v>
      </c>
      <c r="B43" s="6">
        <v>44.6</v>
      </c>
      <c r="C43" s="6">
        <v>37.2</v>
      </c>
      <c r="D43" s="6">
        <v>40.4</v>
      </c>
      <c r="E43" s="6">
        <v>38</v>
      </c>
      <c r="F43" s="6">
        <v>33.4</v>
      </c>
      <c r="G43">
        <f t="shared" si="7"/>
        <v>38.72</v>
      </c>
      <c r="H43">
        <f t="shared" si="8"/>
        <v>11.2</v>
      </c>
      <c r="I43" s="5">
        <f t="shared" si="5"/>
        <v>1</v>
      </c>
      <c r="J43" s="6">
        <v>51.2</v>
      </c>
      <c r="K43" s="5" t="s">
        <v>134</v>
      </c>
      <c r="L43" s="5">
        <v>35</v>
      </c>
      <c r="M43" s="5">
        <v>35</v>
      </c>
      <c r="N43" s="5">
        <v>32</v>
      </c>
      <c r="O43" s="5">
        <v>32</v>
      </c>
      <c r="P43" s="5">
        <v>22</v>
      </c>
      <c r="Q43" s="10">
        <f t="shared" si="9"/>
        <v>31.2</v>
      </c>
      <c r="R43" s="5" t="s">
        <v>134</v>
      </c>
      <c r="S43" s="5">
        <v>40</v>
      </c>
      <c r="T43" s="5">
        <v>25</v>
      </c>
      <c r="U43" s="5">
        <v>42</v>
      </c>
      <c r="V43" s="5">
        <v>30</v>
      </c>
      <c r="W43" s="5">
        <v>25</v>
      </c>
      <c r="X43" s="10">
        <f t="shared" si="0"/>
        <v>32.4</v>
      </c>
      <c r="Y43" s="5" t="s">
        <v>134</v>
      </c>
      <c r="Z43" s="5">
        <v>80</v>
      </c>
      <c r="AA43" s="5">
        <v>60</v>
      </c>
      <c r="AB43" s="5">
        <v>60</v>
      </c>
      <c r="AC43" s="5">
        <v>70</v>
      </c>
      <c r="AD43" s="5">
        <v>80</v>
      </c>
      <c r="AE43" s="10">
        <f t="shared" si="1"/>
        <v>70</v>
      </c>
      <c r="AF43" s="5" t="s">
        <v>134</v>
      </c>
      <c r="AG43" s="5">
        <v>75</v>
      </c>
      <c r="AH43" s="5">
        <v>50</v>
      </c>
      <c r="AI43" s="5">
        <v>70</v>
      </c>
      <c r="AJ43" s="5">
        <v>55</v>
      </c>
      <c r="AK43" s="5">
        <v>70</v>
      </c>
      <c r="AL43" s="10">
        <f t="shared" si="2"/>
        <v>64</v>
      </c>
    </row>
    <row r="44" s="5" customFormat="1" spans="1:38">
      <c r="A44" s="5" t="s">
        <v>135</v>
      </c>
      <c r="B44" s="6">
        <v>81.4</v>
      </c>
      <c r="C44" s="6">
        <v>81</v>
      </c>
      <c r="D44" s="6">
        <v>70.3</v>
      </c>
      <c r="E44" s="6">
        <v>65.1</v>
      </c>
      <c r="F44" s="6">
        <v>69</v>
      </c>
      <c r="G44">
        <f t="shared" si="7"/>
        <v>73.36</v>
      </c>
      <c r="H44">
        <f t="shared" si="8"/>
        <v>16.3</v>
      </c>
      <c r="I44" s="5">
        <f t="shared" si="5"/>
        <v>1</v>
      </c>
      <c r="J44" s="6">
        <v>78.8</v>
      </c>
      <c r="K44" s="5" t="s">
        <v>135</v>
      </c>
      <c r="L44" s="5">
        <v>80</v>
      </c>
      <c r="M44" s="5">
        <v>82</v>
      </c>
      <c r="N44" s="5">
        <v>65</v>
      </c>
      <c r="O44" s="5">
        <v>58</v>
      </c>
      <c r="P44" s="5">
        <v>60</v>
      </c>
      <c r="Q44" s="10">
        <f t="shared" si="9"/>
        <v>69</v>
      </c>
      <c r="R44" s="5" t="s">
        <v>135</v>
      </c>
      <c r="S44" s="5">
        <v>75</v>
      </c>
      <c r="T44" s="5">
        <v>78</v>
      </c>
      <c r="U44" s="5">
        <v>76</v>
      </c>
      <c r="V44" s="5">
        <v>70</v>
      </c>
      <c r="W44" s="5">
        <v>78</v>
      </c>
      <c r="X44" s="10">
        <f t="shared" si="0"/>
        <v>75.4</v>
      </c>
      <c r="Y44" s="5" t="s">
        <v>135</v>
      </c>
      <c r="Z44" s="5">
        <v>100</v>
      </c>
      <c r="AA44" s="5">
        <v>92</v>
      </c>
      <c r="AB44" s="5">
        <v>90</v>
      </c>
      <c r="AC44" s="5">
        <v>88</v>
      </c>
      <c r="AD44" s="5">
        <v>95</v>
      </c>
      <c r="AE44" s="10">
        <f t="shared" si="1"/>
        <v>93</v>
      </c>
      <c r="AF44" s="5" t="s">
        <v>135</v>
      </c>
      <c r="AG44" s="5">
        <v>80</v>
      </c>
      <c r="AH44" s="5">
        <v>65</v>
      </c>
      <c r="AI44" s="5">
        <v>66</v>
      </c>
      <c r="AJ44" s="5">
        <v>72</v>
      </c>
      <c r="AK44" s="5">
        <v>75</v>
      </c>
      <c r="AL44" s="10">
        <f t="shared" si="2"/>
        <v>71.6</v>
      </c>
    </row>
    <row r="45" s="5" customFormat="1" spans="1:38">
      <c r="A45" s="5" t="s">
        <v>136</v>
      </c>
      <c r="B45" s="6">
        <v>87.2</v>
      </c>
      <c r="C45" s="6">
        <v>90.6</v>
      </c>
      <c r="D45" s="6">
        <v>91.4</v>
      </c>
      <c r="E45" s="6">
        <v>86.8</v>
      </c>
      <c r="F45" s="6">
        <v>86.2</v>
      </c>
      <c r="G45">
        <f t="shared" si="7"/>
        <v>88.44</v>
      </c>
      <c r="H45">
        <f t="shared" si="8"/>
        <v>5.2</v>
      </c>
      <c r="I45" s="5">
        <f t="shared" si="5"/>
        <v>1</v>
      </c>
      <c r="J45" s="6">
        <v>81.2</v>
      </c>
      <c r="K45" s="5" t="s">
        <v>136</v>
      </c>
      <c r="L45" s="5">
        <v>88</v>
      </c>
      <c r="M45" s="5">
        <v>93</v>
      </c>
      <c r="N45" s="5">
        <v>93</v>
      </c>
      <c r="O45" s="5">
        <v>86</v>
      </c>
      <c r="P45" s="5">
        <v>85</v>
      </c>
      <c r="Q45" s="10">
        <f t="shared" si="9"/>
        <v>89</v>
      </c>
      <c r="R45" s="5" t="s">
        <v>136</v>
      </c>
      <c r="S45" s="5">
        <v>78</v>
      </c>
      <c r="T45" s="5">
        <v>85</v>
      </c>
      <c r="U45" s="5">
        <v>85</v>
      </c>
      <c r="V45" s="5">
        <v>85</v>
      </c>
      <c r="W45" s="5">
        <v>85</v>
      </c>
      <c r="X45" s="10">
        <f t="shared" si="0"/>
        <v>83.6</v>
      </c>
      <c r="Y45" s="5" t="s">
        <v>136</v>
      </c>
      <c r="Z45" s="5">
        <v>100</v>
      </c>
      <c r="AA45" s="5">
        <v>92</v>
      </c>
      <c r="AB45" s="5">
        <v>95</v>
      </c>
      <c r="AC45" s="5">
        <v>95</v>
      </c>
      <c r="AD45" s="5">
        <v>95</v>
      </c>
      <c r="AE45" s="10">
        <f t="shared" si="1"/>
        <v>95.4</v>
      </c>
      <c r="AF45" s="5" t="s">
        <v>136</v>
      </c>
      <c r="AG45" s="5">
        <v>85</v>
      </c>
      <c r="AH45" s="5">
        <v>85</v>
      </c>
      <c r="AI45" s="5">
        <v>90</v>
      </c>
      <c r="AJ45" s="5">
        <v>85</v>
      </c>
      <c r="AK45" s="5">
        <v>85</v>
      </c>
      <c r="AL45" s="10">
        <f t="shared" si="2"/>
        <v>86</v>
      </c>
    </row>
    <row r="46" s="5" customFormat="1" spans="1:38">
      <c r="A46" s="5" t="s">
        <v>137</v>
      </c>
      <c r="B46" s="6">
        <v>91</v>
      </c>
      <c r="C46" s="6">
        <v>89.2</v>
      </c>
      <c r="D46" s="6">
        <v>92.2</v>
      </c>
      <c r="E46" s="6">
        <v>87</v>
      </c>
      <c r="F46" s="6">
        <v>89.4</v>
      </c>
      <c r="G46">
        <f t="shared" si="7"/>
        <v>89.76</v>
      </c>
      <c r="H46">
        <f t="shared" si="8"/>
        <v>5.2</v>
      </c>
      <c r="I46" s="5">
        <f t="shared" si="5"/>
        <v>1</v>
      </c>
      <c r="J46" s="6">
        <v>78.4</v>
      </c>
      <c r="K46" s="5" t="s">
        <v>137</v>
      </c>
      <c r="L46" s="5">
        <v>92</v>
      </c>
      <c r="M46" s="5">
        <v>93</v>
      </c>
      <c r="N46" s="5">
        <v>94</v>
      </c>
      <c r="O46" s="5">
        <v>88</v>
      </c>
      <c r="P46" s="5">
        <v>90</v>
      </c>
      <c r="Q46" s="10">
        <f t="shared" si="9"/>
        <v>91.4</v>
      </c>
      <c r="R46" s="5" t="s">
        <v>137</v>
      </c>
      <c r="S46" s="5">
        <v>85</v>
      </c>
      <c r="T46" s="5">
        <v>78</v>
      </c>
      <c r="U46" s="5">
        <v>86</v>
      </c>
      <c r="V46" s="5">
        <v>80</v>
      </c>
      <c r="W46" s="5">
        <v>85</v>
      </c>
      <c r="X46" s="10">
        <f t="shared" si="0"/>
        <v>82.8</v>
      </c>
      <c r="Y46" s="5" t="s">
        <v>137</v>
      </c>
      <c r="Z46" s="5">
        <v>100</v>
      </c>
      <c r="AA46" s="5">
        <v>92</v>
      </c>
      <c r="AB46" s="5">
        <v>95</v>
      </c>
      <c r="AC46" s="5">
        <v>95</v>
      </c>
      <c r="AD46" s="5">
        <v>95</v>
      </c>
      <c r="AE46" s="10">
        <f t="shared" si="1"/>
        <v>95.4</v>
      </c>
      <c r="AF46" s="5" t="s">
        <v>137</v>
      </c>
      <c r="AG46" s="5">
        <v>85</v>
      </c>
      <c r="AH46" s="5">
        <v>85</v>
      </c>
      <c r="AI46" s="5">
        <v>90</v>
      </c>
      <c r="AJ46" s="5">
        <v>85</v>
      </c>
      <c r="AK46" s="5">
        <v>88</v>
      </c>
      <c r="AL46" s="10">
        <f t="shared" si="2"/>
        <v>86.6</v>
      </c>
    </row>
    <row r="47" s="5" customFormat="1" spans="1:38">
      <c r="A47" s="5" t="s">
        <v>138</v>
      </c>
      <c r="B47" s="6">
        <v>88</v>
      </c>
      <c r="C47" s="6">
        <v>88.4</v>
      </c>
      <c r="D47" s="6">
        <v>90.4</v>
      </c>
      <c r="E47" s="6">
        <v>79.6</v>
      </c>
      <c r="F47" s="6">
        <v>88</v>
      </c>
      <c r="G47">
        <f t="shared" si="7"/>
        <v>86.88</v>
      </c>
      <c r="H47">
        <f t="shared" si="8"/>
        <v>10.8</v>
      </c>
      <c r="I47" s="5">
        <f t="shared" si="5"/>
        <v>1</v>
      </c>
      <c r="J47" s="6">
        <v>79.2</v>
      </c>
      <c r="K47" s="5" t="s">
        <v>138</v>
      </c>
      <c r="L47" s="5">
        <v>88</v>
      </c>
      <c r="M47" s="5">
        <v>90</v>
      </c>
      <c r="N47" s="5">
        <v>92</v>
      </c>
      <c r="O47" s="5">
        <v>76</v>
      </c>
      <c r="P47" s="5">
        <v>88</v>
      </c>
      <c r="Q47" s="10">
        <f t="shared" si="9"/>
        <v>86.8</v>
      </c>
      <c r="R47" s="5" t="s">
        <v>138</v>
      </c>
      <c r="S47" s="5">
        <v>82</v>
      </c>
      <c r="T47" s="5">
        <v>85</v>
      </c>
      <c r="U47" s="5">
        <v>85</v>
      </c>
      <c r="V47" s="5">
        <v>82</v>
      </c>
      <c r="W47" s="5">
        <v>85</v>
      </c>
      <c r="X47" s="10">
        <f t="shared" si="0"/>
        <v>83.8</v>
      </c>
      <c r="Y47" s="5" t="s">
        <v>138</v>
      </c>
      <c r="Z47" s="5">
        <v>100</v>
      </c>
      <c r="AA47" s="5">
        <v>92</v>
      </c>
      <c r="AB47" s="5">
        <v>93</v>
      </c>
      <c r="AC47" s="5">
        <v>90</v>
      </c>
      <c r="AD47" s="5">
        <v>95</v>
      </c>
      <c r="AE47" s="10">
        <f t="shared" si="1"/>
        <v>94</v>
      </c>
      <c r="AF47" s="5" t="s">
        <v>138</v>
      </c>
      <c r="AG47" s="5">
        <v>85</v>
      </c>
      <c r="AH47" s="5">
        <v>80</v>
      </c>
      <c r="AI47" s="5">
        <v>88</v>
      </c>
      <c r="AJ47" s="5">
        <v>85</v>
      </c>
      <c r="AK47" s="5">
        <v>85</v>
      </c>
      <c r="AL47" s="10">
        <f t="shared" si="2"/>
        <v>84.6</v>
      </c>
    </row>
    <row r="48" s="5" customFormat="1" spans="1:38">
      <c r="A48" s="5" t="s">
        <v>139</v>
      </c>
      <c r="B48" s="6">
        <v>91</v>
      </c>
      <c r="C48" s="6">
        <v>92.8</v>
      </c>
      <c r="D48" s="6">
        <v>92.6</v>
      </c>
      <c r="E48" s="6">
        <v>91</v>
      </c>
      <c r="F48" s="6">
        <v>90.6</v>
      </c>
      <c r="G48">
        <f t="shared" si="7"/>
        <v>91.6</v>
      </c>
      <c r="H48">
        <f t="shared" si="8"/>
        <v>2.2</v>
      </c>
      <c r="I48" s="5">
        <f t="shared" si="5"/>
        <v>1</v>
      </c>
      <c r="J48" s="6">
        <v>79.6</v>
      </c>
      <c r="K48" s="5" t="s">
        <v>139</v>
      </c>
      <c r="L48" s="5">
        <v>92</v>
      </c>
      <c r="M48" s="5">
        <v>95</v>
      </c>
      <c r="N48" s="5">
        <v>94</v>
      </c>
      <c r="O48" s="5">
        <v>92</v>
      </c>
      <c r="P48" s="5">
        <v>90</v>
      </c>
      <c r="Q48" s="10">
        <f t="shared" si="9"/>
        <v>92.6</v>
      </c>
      <c r="R48" s="5" t="s">
        <v>139</v>
      </c>
      <c r="S48" s="5">
        <v>85</v>
      </c>
      <c r="T48" s="5">
        <v>88</v>
      </c>
      <c r="U48" s="5">
        <v>88</v>
      </c>
      <c r="V48" s="5">
        <v>88</v>
      </c>
      <c r="W48" s="5">
        <v>90</v>
      </c>
      <c r="X48" s="10">
        <f t="shared" si="0"/>
        <v>87.8</v>
      </c>
      <c r="Y48" s="5" t="s">
        <v>139</v>
      </c>
      <c r="Z48" s="5">
        <v>100</v>
      </c>
      <c r="AA48" s="5">
        <v>92</v>
      </c>
      <c r="AB48" s="5">
        <v>95</v>
      </c>
      <c r="AC48" s="5">
        <v>95</v>
      </c>
      <c r="AD48" s="5">
        <v>95</v>
      </c>
      <c r="AE48" s="10">
        <f t="shared" si="1"/>
        <v>95.4</v>
      </c>
      <c r="AF48" s="5" t="s">
        <v>139</v>
      </c>
      <c r="AG48" s="5">
        <v>85</v>
      </c>
      <c r="AH48" s="5">
        <v>90</v>
      </c>
      <c r="AI48" s="5">
        <v>90</v>
      </c>
      <c r="AJ48" s="5">
        <v>85</v>
      </c>
      <c r="AK48" s="5">
        <v>90</v>
      </c>
      <c r="AL48" s="10">
        <f t="shared" si="2"/>
        <v>88</v>
      </c>
    </row>
    <row r="49" s="5" customFormat="1" spans="1:38">
      <c r="A49" s="5" t="s">
        <v>140</v>
      </c>
      <c r="B49" s="6">
        <v>92</v>
      </c>
      <c r="C49" s="6">
        <v>92.2</v>
      </c>
      <c r="D49" s="6">
        <v>92.6</v>
      </c>
      <c r="E49" s="6">
        <v>89.8</v>
      </c>
      <c r="F49" s="6">
        <v>91.9</v>
      </c>
      <c r="G49">
        <f t="shared" si="7"/>
        <v>91.7</v>
      </c>
      <c r="H49">
        <f t="shared" si="8"/>
        <v>2.8</v>
      </c>
      <c r="I49" s="5">
        <f t="shared" si="5"/>
        <v>1</v>
      </c>
      <c r="J49" s="6">
        <v>85.6</v>
      </c>
      <c r="K49" s="5" t="s">
        <v>140</v>
      </c>
      <c r="L49" s="5">
        <v>92</v>
      </c>
      <c r="M49" s="5">
        <v>95</v>
      </c>
      <c r="N49" s="5">
        <v>94</v>
      </c>
      <c r="O49" s="5">
        <v>90</v>
      </c>
      <c r="P49" s="5">
        <v>92</v>
      </c>
      <c r="Q49" s="10">
        <f t="shared" si="9"/>
        <v>92.6</v>
      </c>
      <c r="R49" s="5" t="s">
        <v>140</v>
      </c>
      <c r="S49" s="5">
        <v>88</v>
      </c>
      <c r="T49" s="5">
        <v>85</v>
      </c>
      <c r="U49" s="5">
        <v>88</v>
      </c>
      <c r="V49" s="5">
        <v>88</v>
      </c>
      <c r="W49" s="5">
        <v>90</v>
      </c>
      <c r="X49" s="10">
        <f t="shared" si="0"/>
        <v>87.8</v>
      </c>
      <c r="Y49" s="5" t="s">
        <v>140</v>
      </c>
      <c r="Z49" s="5">
        <v>100</v>
      </c>
      <c r="AA49" s="5">
        <v>92</v>
      </c>
      <c r="AB49" s="5">
        <v>95</v>
      </c>
      <c r="AC49" s="5">
        <v>95</v>
      </c>
      <c r="AD49" s="5">
        <v>96</v>
      </c>
      <c r="AE49" s="10">
        <f t="shared" si="1"/>
        <v>95.6</v>
      </c>
      <c r="AF49" s="5" t="s">
        <v>140</v>
      </c>
      <c r="AG49" s="5">
        <v>90</v>
      </c>
      <c r="AH49" s="5">
        <v>90</v>
      </c>
      <c r="AI49" s="5">
        <v>90</v>
      </c>
      <c r="AJ49" s="5">
        <v>85</v>
      </c>
      <c r="AK49" s="5">
        <v>90</v>
      </c>
      <c r="AL49" s="10">
        <f t="shared" si="2"/>
        <v>89</v>
      </c>
    </row>
    <row r="50" s="5" customFormat="1" spans="1:38">
      <c r="A50" s="5" t="s">
        <v>141</v>
      </c>
      <c r="B50" s="6">
        <v>83.4</v>
      </c>
      <c r="C50" s="6">
        <v>76.6</v>
      </c>
      <c r="D50" s="6">
        <v>73.4</v>
      </c>
      <c r="E50" s="6">
        <v>64</v>
      </c>
      <c r="F50" s="6">
        <v>69</v>
      </c>
      <c r="G50">
        <f t="shared" si="7"/>
        <v>73.28</v>
      </c>
      <c r="H50">
        <f t="shared" si="8"/>
        <v>19.4</v>
      </c>
      <c r="I50" s="5">
        <f t="shared" si="5"/>
        <v>1</v>
      </c>
      <c r="J50" s="6">
        <v>77.8</v>
      </c>
      <c r="K50" s="5" t="s">
        <v>141</v>
      </c>
      <c r="L50" s="5">
        <v>82</v>
      </c>
      <c r="M50" s="5">
        <v>78</v>
      </c>
      <c r="N50" s="5">
        <v>68</v>
      </c>
      <c r="O50" s="5">
        <v>55</v>
      </c>
      <c r="P50" s="5">
        <v>60</v>
      </c>
      <c r="Q50" s="10">
        <f t="shared" si="9"/>
        <v>68.6</v>
      </c>
      <c r="R50" s="5" t="s">
        <v>141</v>
      </c>
      <c r="S50" s="5">
        <v>80</v>
      </c>
      <c r="T50" s="5">
        <v>70</v>
      </c>
      <c r="U50" s="5">
        <v>80</v>
      </c>
      <c r="V50" s="5">
        <v>72</v>
      </c>
      <c r="W50" s="5">
        <v>78</v>
      </c>
      <c r="X50" s="10">
        <f t="shared" si="0"/>
        <v>76</v>
      </c>
      <c r="Y50" s="5" t="s">
        <v>141</v>
      </c>
      <c r="Z50" s="5">
        <v>100</v>
      </c>
      <c r="AA50" s="5">
        <v>92</v>
      </c>
      <c r="AB50" s="5">
        <v>90</v>
      </c>
      <c r="AC50" s="5">
        <v>88</v>
      </c>
      <c r="AD50" s="5">
        <v>95</v>
      </c>
      <c r="AE50" s="10">
        <f t="shared" si="1"/>
        <v>93</v>
      </c>
      <c r="AF50" s="5" t="s">
        <v>141</v>
      </c>
      <c r="AG50" s="5">
        <v>78</v>
      </c>
      <c r="AH50" s="5">
        <v>60</v>
      </c>
      <c r="AI50" s="5">
        <v>72</v>
      </c>
      <c r="AJ50" s="5">
        <v>75</v>
      </c>
      <c r="AK50" s="5">
        <v>75</v>
      </c>
      <c r="AL50" s="10">
        <f t="shared" si="2"/>
        <v>72</v>
      </c>
    </row>
    <row r="51" s="5" customFormat="1" spans="1:38">
      <c r="A51" s="5" t="s">
        <v>142</v>
      </c>
      <c r="B51" s="6">
        <v>90.8</v>
      </c>
      <c r="C51" s="6">
        <v>90.6</v>
      </c>
      <c r="D51" s="6">
        <v>92.8</v>
      </c>
      <c r="E51" s="6">
        <v>87.2</v>
      </c>
      <c r="F51" s="6">
        <v>92.8</v>
      </c>
      <c r="G51">
        <f t="shared" si="7"/>
        <v>90.84</v>
      </c>
      <c r="H51">
        <f t="shared" si="8"/>
        <v>5.59999999999999</v>
      </c>
      <c r="I51" s="5">
        <f t="shared" si="5"/>
        <v>1</v>
      </c>
      <c r="J51" s="6">
        <v>83.6</v>
      </c>
      <c r="K51" s="5" t="s">
        <v>142</v>
      </c>
      <c r="L51" s="5">
        <v>90</v>
      </c>
      <c r="M51" s="5">
        <v>90</v>
      </c>
      <c r="N51" s="5">
        <v>93</v>
      </c>
      <c r="O51" s="5">
        <v>85</v>
      </c>
      <c r="P51" s="5">
        <v>92</v>
      </c>
      <c r="Q51" s="10">
        <f t="shared" si="9"/>
        <v>90</v>
      </c>
      <c r="R51" s="5" t="s">
        <v>142</v>
      </c>
      <c r="S51" s="5">
        <v>88</v>
      </c>
      <c r="T51" s="5">
        <v>95</v>
      </c>
      <c r="U51" s="5">
        <v>92</v>
      </c>
      <c r="V51" s="5">
        <v>90</v>
      </c>
      <c r="W51" s="5">
        <v>95</v>
      </c>
      <c r="X51" s="10">
        <f t="shared" si="0"/>
        <v>92</v>
      </c>
      <c r="Y51" s="5" t="s">
        <v>142</v>
      </c>
      <c r="Z51" s="5">
        <v>100</v>
      </c>
      <c r="AA51" s="5">
        <v>90</v>
      </c>
      <c r="AB51" s="5">
        <v>95</v>
      </c>
      <c r="AC51" s="5">
        <v>95</v>
      </c>
      <c r="AD51" s="5">
        <v>95</v>
      </c>
      <c r="AE51" s="10">
        <f t="shared" si="1"/>
        <v>95</v>
      </c>
      <c r="AF51" s="5" t="s">
        <v>142</v>
      </c>
      <c r="AG51" s="5">
        <v>90</v>
      </c>
      <c r="AH51" s="5">
        <v>85</v>
      </c>
      <c r="AI51" s="5">
        <v>90</v>
      </c>
      <c r="AJ51" s="5">
        <v>85</v>
      </c>
      <c r="AK51" s="5">
        <v>90</v>
      </c>
      <c r="AL51" s="10">
        <f t="shared" si="2"/>
        <v>88</v>
      </c>
    </row>
    <row r="52" s="5" customFormat="1" spans="1:38">
      <c r="A52" s="5" t="s">
        <v>143</v>
      </c>
      <c r="B52" s="6">
        <v>82.2</v>
      </c>
      <c r="C52" s="6">
        <v>76.6</v>
      </c>
      <c r="D52" s="6">
        <v>73.4</v>
      </c>
      <c r="E52" s="6">
        <v>65.4</v>
      </c>
      <c r="F52" s="6">
        <v>69</v>
      </c>
      <c r="G52">
        <f t="shared" si="7"/>
        <v>73.32</v>
      </c>
      <c r="H52">
        <f t="shared" si="8"/>
        <v>16.8</v>
      </c>
      <c r="I52" s="5">
        <f t="shared" si="5"/>
        <v>1</v>
      </c>
      <c r="J52" s="6">
        <v>77.8</v>
      </c>
      <c r="K52" s="5" t="s">
        <v>143</v>
      </c>
      <c r="L52" s="5">
        <v>80</v>
      </c>
      <c r="M52" s="5">
        <v>78</v>
      </c>
      <c r="N52" s="5">
        <v>68</v>
      </c>
      <c r="O52" s="5">
        <v>58</v>
      </c>
      <c r="P52" s="5">
        <v>60</v>
      </c>
      <c r="Q52" s="10">
        <f t="shared" si="9"/>
        <v>68.8</v>
      </c>
      <c r="R52" s="5" t="s">
        <v>143</v>
      </c>
      <c r="S52" s="5">
        <v>80</v>
      </c>
      <c r="T52" s="5">
        <v>70</v>
      </c>
      <c r="U52" s="5">
        <v>80</v>
      </c>
      <c r="V52" s="5">
        <v>70</v>
      </c>
      <c r="W52" s="5">
        <v>78</v>
      </c>
      <c r="X52" s="10">
        <f t="shared" si="0"/>
        <v>75.6</v>
      </c>
      <c r="Y52" s="5" t="s">
        <v>143</v>
      </c>
      <c r="Z52" s="5">
        <v>100</v>
      </c>
      <c r="AA52" s="5">
        <v>92</v>
      </c>
      <c r="AB52" s="5">
        <v>90</v>
      </c>
      <c r="AC52" s="5">
        <v>88</v>
      </c>
      <c r="AD52" s="5">
        <v>95</v>
      </c>
      <c r="AE52" s="10">
        <f t="shared" si="1"/>
        <v>93</v>
      </c>
      <c r="AF52" s="5" t="s">
        <v>143</v>
      </c>
      <c r="AG52" s="5">
        <v>78</v>
      </c>
      <c r="AH52" s="5">
        <v>60</v>
      </c>
      <c r="AI52" s="5">
        <v>72</v>
      </c>
      <c r="AJ52" s="5">
        <v>75</v>
      </c>
      <c r="AK52" s="5">
        <v>75</v>
      </c>
      <c r="AL52" s="10">
        <f t="shared" si="2"/>
        <v>72</v>
      </c>
    </row>
    <row r="53" s="5" customFormat="1" spans="1:38">
      <c r="A53" s="5" t="s">
        <v>144</v>
      </c>
      <c r="B53" s="6">
        <v>82.2</v>
      </c>
      <c r="C53" s="6">
        <v>76.2</v>
      </c>
      <c r="D53" s="6">
        <v>73</v>
      </c>
      <c r="E53" s="6">
        <v>63.8</v>
      </c>
      <c r="F53" s="6">
        <v>69</v>
      </c>
      <c r="G53">
        <f t="shared" si="7"/>
        <v>72.84</v>
      </c>
      <c r="H53">
        <f t="shared" si="8"/>
        <v>18.4</v>
      </c>
      <c r="I53" s="5">
        <f t="shared" si="5"/>
        <v>1</v>
      </c>
      <c r="J53" s="6">
        <v>77.2</v>
      </c>
      <c r="K53" s="5" t="s">
        <v>144</v>
      </c>
      <c r="L53" s="5">
        <v>80</v>
      </c>
      <c r="M53" s="5">
        <v>78</v>
      </c>
      <c r="N53" s="5">
        <v>68</v>
      </c>
      <c r="O53" s="5">
        <v>56</v>
      </c>
      <c r="P53" s="5">
        <v>60</v>
      </c>
      <c r="Q53" s="10">
        <f t="shared" si="9"/>
        <v>68.4</v>
      </c>
      <c r="R53" s="5" t="s">
        <v>144</v>
      </c>
      <c r="S53" s="5">
        <v>80</v>
      </c>
      <c r="T53" s="5">
        <v>68</v>
      </c>
      <c r="U53" s="5">
        <v>78</v>
      </c>
      <c r="V53" s="5">
        <v>68</v>
      </c>
      <c r="W53" s="5">
        <v>78</v>
      </c>
      <c r="X53" s="10">
        <f t="shared" si="0"/>
        <v>74.4</v>
      </c>
      <c r="Y53" s="5" t="s">
        <v>144</v>
      </c>
      <c r="Z53" s="5">
        <v>100</v>
      </c>
      <c r="AA53" s="5">
        <v>92</v>
      </c>
      <c r="AB53" s="5">
        <v>90</v>
      </c>
      <c r="AC53" s="5">
        <v>88</v>
      </c>
      <c r="AD53" s="5">
        <v>95</v>
      </c>
      <c r="AE53" s="10">
        <f t="shared" si="1"/>
        <v>93</v>
      </c>
      <c r="AF53" s="5" t="s">
        <v>144</v>
      </c>
      <c r="AG53" s="5">
        <v>78</v>
      </c>
      <c r="AH53" s="5">
        <v>60</v>
      </c>
      <c r="AI53" s="5">
        <v>72</v>
      </c>
      <c r="AJ53" s="5">
        <v>75</v>
      </c>
      <c r="AK53" s="5">
        <v>75</v>
      </c>
      <c r="AL53" s="10">
        <f t="shared" si="2"/>
        <v>72</v>
      </c>
    </row>
    <row r="54" s="5" customFormat="1" spans="1:38">
      <c r="A54" s="5" t="s">
        <v>145</v>
      </c>
      <c r="B54" s="6">
        <v>84</v>
      </c>
      <c r="C54" s="6">
        <v>77</v>
      </c>
      <c r="D54" s="6">
        <v>73.4</v>
      </c>
      <c r="E54" s="6">
        <v>67.6</v>
      </c>
      <c r="F54" s="6">
        <v>69.4</v>
      </c>
      <c r="G54">
        <f t="shared" si="7"/>
        <v>74.28</v>
      </c>
      <c r="H54">
        <f t="shared" si="8"/>
        <v>16.4</v>
      </c>
      <c r="I54" s="5">
        <f t="shared" si="5"/>
        <v>1</v>
      </c>
      <c r="J54" s="6">
        <v>78.8</v>
      </c>
      <c r="K54" s="5" t="s">
        <v>145</v>
      </c>
      <c r="L54" s="5">
        <v>82</v>
      </c>
      <c r="M54" s="5">
        <v>78</v>
      </c>
      <c r="N54" s="5">
        <v>68</v>
      </c>
      <c r="O54" s="5">
        <v>60</v>
      </c>
      <c r="P54" s="5">
        <v>60</v>
      </c>
      <c r="Q54" s="10">
        <f t="shared" si="9"/>
        <v>69.6</v>
      </c>
      <c r="R54" s="5" t="s">
        <v>145</v>
      </c>
      <c r="S54" s="5">
        <v>83</v>
      </c>
      <c r="T54" s="5">
        <v>72</v>
      </c>
      <c r="U54" s="5">
        <v>80</v>
      </c>
      <c r="V54" s="5">
        <v>75</v>
      </c>
      <c r="W54" s="5">
        <v>80</v>
      </c>
      <c r="X54" s="10">
        <f t="shared" si="0"/>
        <v>78</v>
      </c>
      <c r="Y54" s="5" t="s">
        <v>145</v>
      </c>
      <c r="Z54" s="5">
        <v>100</v>
      </c>
      <c r="AA54" s="5">
        <v>92</v>
      </c>
      <c r="AB54" s="5">
        <v>90</v>
      </c>
      <c r="AC54" s="5">
        <v>88</v>
      </c>
      <c r="AD54" s="5">
        <v>95</v>
      </c>
      <c r="AE54" s="10">
        <f t="shared" si="1"/>
        <v>93</v>
      </c>
      <c r="AF54" s="5" t="s">
        <v>145</v>
      </c>
      <c r="AG54" s="5">
        <v>78</v>
      </c>
      <c r="AH54" s="5">
        <v>60</v>
      </c>
      <c r="AI54" s="5">
        <v>72</v>
      </c>
      <c r="AJ54" s="5">
        <v>75</v>
      </c>
      <c r="AK54" s="5">
        <v>75</v>
      </c>
      <c r="AL54" s="10">
        <f t="shared" si="2"/>
        <v>72</v>
      </c>
    </row>
    <row r="55" s="5" customFormat="1" spans="1:38">
      <c r="A55" s="5" t="s">
        <v>146</v>
      </c>
      <c r="B55" s="6">
        <v>87.2</v>
      </c>
      <c r="C55" s="6">
        <v>92.8</v>
      </c>
      <c r="D55" s="6">
        <v>93</v>
      </c>
      <c r="E55" s="6">
        <v>91</v>
      </c>
      <c r="F55" s="6">
        <v>90.6</v>
      </c>
      <c r="G55">
        <f t="shared" si="7"/>
        <v>90.92</v>
      </c>
      <c r="H55">
        <f t="shared" si="8"/>
        <v>5.8</v>
      </c>
      <c r="I55" s="5">
        <f t="shared" si="5"/>
        <v>1</v>
      </c>
      <c r="J55" s="6">
        <v>79.6</v>
      </c>
      <c r="K55" s="5" t="s">
        <v>146</v>
      </c>
      <c r="L55" s="5">
        <v>88</v>
      </c>
      <c r="M55" s="5">
        <v>95</v>
      </c>
      <c r="N55" s="5">
        <v>95</v>
      </c>
      <c r="O55" s="5">
        <v>92</v>
      </c>
      <c r="P55" s="5">
        <v>90</v>
      </c>
      <c r="Q55" s="10">
        <f t="shared" si="9"/>
        <v>92</v>
      </c>
      <c r="R55" s="5" t="s">
        <v>146</v>
      </c>
      <c r="S55" s="5">
        <v>78</v>
      </c>
      <c r="T55" s="5">
        <v>88</v>
      </c>
      <c r="U55" s="5">
        <v>88</v>
      </c>
      <c r="V55" s="5">
        <v>88</v>
      </c>
      <c r="W55" s="5">
        <v>90</v>
      </c>
      <c r="X55" s="10">
        <f t="shared" si="0"/>
        <v>86.4</v>
      </c>
      <c r="Y55" s="5" t="s">
        <v>146</v>
      </c>
      <c r="Z55" s="5">
        <v>100</v>
      </c>
      <c r="AA55" s="5">
        <v>92</v>
      </c>
      <c r="AB55" s="5">
        <v>95</v>
      </c>
      <c r="AC55" s="5">
        <v>95</v>
      </c>
      <c r="AD55" s="5">
        <v>95</v>
      </c>
      <c r="AE55" s="10">
        <f t="shared" si="1"/>
        <v>95.4</v>
      </c>
      <c r="AF55" s="5" t="s">
        <v>146</v>
      </c>
      <c r="AG55" s="5">
        <v>85</v>
      </c>
      <c r="AH55" s="5">
        <v>90</v>
      </c>
      <c r="AI55" s="5">
        <v>88</v>
      </c>
      <c r="AJ55" s="5">
        <v>85</v>
      </c>
      <c r="AK55" s="5">
        <v>90</v>
      </c>
      <c r="AL55" s="10">
        <f t="shared" si="2"/>
        <v>87.6</v>
      </c>
    </row>
    <row r="56" s="5" customFormat="1" spans="1:38">
      <c r="A56" s="5" t="s">
        <v>147</v>
      </c>
      <c r="B56" s="6">
        <v>49.4</v>
      </c>
      <c r="C56" s="6">
        <v>47.2</v>
      </c>
      <c r="D56" s="6">
        <v>43.4</v>
      </c>
      <c r="E56" s="6">
        <v>30.6</v>
      </c>
      <c r="F56" s="6">
        <v>36.6</v>
      </c>
      <c r="G56">
        <f t="shared" si="7"/>
        <v>41.44</v>
      </c>
      <c r="H56">
        <f t="shared" si="8"/>
        <v>18.8</v>
      </c>
      <c r="I56" s="5">
        <f t="shared" si="5"/>
        <v>1</v>
      </c>
      <c r="J56" s="6">
        <v>62</v>
      </c>
      <c r="K56" s="5" t="s">
        <v>147</v>
      </c>
      <c r="L56" s="5">
        <v>40</v>
      </c>
      <c r="M56" s="5">
        <v>45</v>
      </c>
      <c r="N56" s="5">
        <v>33</v>
      </c>
      <c r="O56" s="5">
        <v>22</v>
      </c>
      <c r="P56" s="5">
        <v>25</v>
      </c>
      <c r="Q56" s="10">
        <f t="shared" si="9"/>
        <v>33</v>
      </c>
      <c r="R56" s="5" t="s">
        <v>147</v>
      </c>
      <c r="S56" s="5">
        <v>45</v>
      </c>
      <c r="T56" s="5">
        <v>30</v>
      </c>
      <c r="U56" s="5">
        <v>50</v>
      </c>
      <c r="V56" s="5">
        <v>30</v>
      </c>
      <c r="W56" s="5">
        <v>30</v>
      </c>
      <c r="X56" s="10">
        <f t="shared" si="0"/>
        <v>37</v>
      </c>
      <c r="Y56" s="5" t="s">
        <v>147</v>
      </c>
      <c r="Z56" s="5">
        <v>90</v>
      </c>
      <c r="AA56" s="5">
        <v>85</v>
      </c>
      <c r="AB56" s="5">
        <v>65</v>
      </c>
      <c r="AC56" s="5">
        <v>55</v>
      </c>
      <c r="AD56" s="5">
        <v>80</v>
      </c>
      <c r="AE56" s="10">
        <f t="shared" si="1"/>
        <v>75</v>
      </c>
      <c r="AF56" s="5" t="s">
        <v>147</v>
      </c>
      <c r="AG56" s="5">
        <v>70</v>
      </c>
      <c r="AH56" s="5">
        <v>50</v>
      </c>
      <c r="AI56" s="5">
        <v>72</v>
      </c>
      <c r="AJ56" s="5">
        <v>60</v>
      </c>
      <c r="AK56" s="5">
        <v>75</v>
      </c>
      <c r="AL56" s="10">
        <f t="shared" si="2"/>
        <v>65.4</v>
      </c>
    </row>
    <row r="57" s="5" customFormat="1" spans="1:38">
      <c r="A57" s="5" t="s">
        <v>148</v>
      </c>
      <c r="B57" s="6">
        <v>70</v>
      </c>
      <c r="C57" s="6">
        <v>71</v>
      </c>
      <c r="D57" s="6">
        <v>68</v>
      </c>
      <c r="E57" s="6">
        <v>52.4</v>
      </c>
      <c r="F57" s="6">
        <v>64.4</v>
      </c>
      <c r="G57">
        <f t="shared" si="7"/>
        <v>65.16</v>
      </c>
      <c r="H57">
        <f t="shared" si="8"/>
        <v>18.6</v>
      </c>
      <c r="I57" s="5">
        <f t="shared" si="5"/>
        <v>0</v>
      </c>
      <c r="J57" s="6">
        <v>66</v>
      </c>
      <c r="K57" s="5" t="s">
        <v>148</v>
      </c>
      <c r="L57" s="5">
        <v>65</v>
      </c>
      <c r="M57" s="5">
        <v>72</v>
      </c>
      <c r="N57" s="5">
        <v>62</v>
      </c>
      <c r="O57" s="5">
        <v>42</v>
      </c>
      <c r="P57" s="5">
        <v>55</v>
      </c>
      <c r="Q57" s="10">
        <f t="shared" si="9"/>
        <v>59.2</v>
      </c>
      <c r="R57" s="5" t="s">
        <v>148</v>
      </c>
      <c r="S57" s="5">
        <v>65</v>
      </c>
      <c r="T57" s="5">
        <v>62</v>
      </c>
      <c r="U57" s="5">
        <v>72</v>
      </c>
      <c r="V57" s="5">
        <v>55</v>
      </c>
      <c r="W57" s="5">
        <v>70</v>
      </c>
      <c r="X57" s="10">
        <f t="shared" si="0"/>
        <v>64.8</v>
      </c>
      <c r="Y57" s="5" t="s">
        <v>148</v>
      </c>
      <c r="Z57" s="5">
        <v>100</v>
      </c>
      <c r="AA57" s="5">
        <v>92</v>
      </c>
      <c r="AB57" s="5">
        <v>90</v>
      </c>
      <c r="AC57" s="5">
        <v>88</v>
      </c>
      <c r="AD57" s="5">
        <v>95</v>
      </c>
      <c r="AE57" s="10">
        <f t="shared" si="1"/>
        <v>93</v>
      </c>
      <c r="AF57" s="5" t="s">
        <v>148</v>
      </c>
      <c r="AG57" s="5">
        <v>75</v>
      </c>
      <c r="AH57" s="5">
        <v>55</v>
      </c>
      <c r="AI57" s="5">
        <v>70</v>
      </c>
      <c r="AJ57" s="5">
        <v>70</v>
      </c>
      <c r="AK57" s="5">
        <v>75</v>
      </c>
      <c r="AL57" s="10">
        <f t="shared" si="2"/>
        <v>69</v>
      </c>
    </row>
    <row r="58" s="5" customFormat="1" spans="1:38">
      <c r="A58" s="5" t="s">
        <v>149</v>
      </c>
      <c r="B58" s="6">
        <v>91.8</v>
      </c>
      <c r="C58" s="6">
        <v>92.8</v>
      </c>
      <c r="D58" s="6">
        <v>93</v>
      </c>
      <c r="E58" s="6">
        <v>91</v>
      </c>
      <c r="F58" s="6">
        <v>91.9</v>
      </c>
      <c r="G58">
        <f t="shared" si="7"/>
        <v>92.1</v>
      </c>
      <c r="H58">
        <f t="shared" si="8"/>
        <v>2</v>
      </c>
      <c r="I58" s="5">
        <f t="shared" si="5"/>
        <v>1</v>
      </c>
      <c r="J58" s="6">
        <v>85.4</v>
      </c>
      <c r="K58" s="5" t="s">
        <v>149</v>
      </c>
      <c r="L58" s="5">
        <v>92</v>
      </c>
      <c r="M58" s="5">
        <v>95</v>
      </c>
      <c r="N58" s="5">
        <v>94</v>
      </c>
      <c r="O58" s="5">
        <v>92</v>
      </c>
      <c r="P58" s="5">
        <v>92</v>
      </c>
      <c r="Q58" s="10">
        <f t="shared" si="9"/>
        <v>93</v>
      </c>
      <c r="R58" s="5" t="s">
        <v>149</v>
      </c>
      <c r="S58" s="5">
        <v>87</v>
      </c>
      <c r="T58" s="5">
        <v>88</v>
      </c>
      <c r="U58" s="5">
        <v>90</v>
      </c>
      <c r="V58" s="5">
        <v>88</v>
      </c>
      <c r="W58" s="5">
        <v>90</v>
      </c>
      <c r="X58" s="10">
        <f t="shared" si="0"/>
        <v>88.6</v>
      </c>
      <c r="Y58" s="5" t="s">
        <v>149</v>
      </c>
      <c r="Z58" s="5">
        <v>100</v>
      </c>
      <c r="AA58" s="5">
        <v>92</v>
      </c>
      <c r="AB58" s="5">
        <v>95</v>
      </c>
      <c r="AC58" s="5">
        <v>95</v>
      </c>
      <c r="AD58" s="5">
        <v>96</v>
      </c>
      <c r="AE58" s="10">
        <f t="shared" si="1"/>
        <v>95.6</v>
      </c>
      <c r="AF58" s="5" t="s">
        <v>149</v>
      </c>
      <c r="AG58" s="5">
        <v>90</v>
      </c>
      <c r="AH58" s="5">
        <v>90</v>
      </c>
      <c r="AI58" s="5">
        <v>90</v>
      </c>
      <c r="AJ58" s="5">
        <v>85</v>
      </c>
      <c r="AK58" s="5">
        <v>90</v>
      </c>
      <c r="AL58" s="10">
        <f t="shared" si="2"/>
        <v>89</v>
      </c>
    </row>
    <row r="59" s="5" customFormat="1" spans="1:38">
      <c r="A59" s="5" t="s">
        <v>150</v>
      </c>
      <c r="B59" s="6">
        <v>93.4</v>
      </c>
      <c r="C59" s="6">
        <v>91.4</v>
      </c>
      <c r="D59" s="6">
        <v>92.2</v>
      </c>
      <c r="E59" s="6">
        <v>93.8</v>
      </c>
      <c r="F59" s="6">
        <v>93.8</v>
      </c>
      <c r="G59">
        <f t="shared" si="7"/>
        <v>92.92</v>
      </c>
      <c r="H59">
        <f t="shared" si="8"/>
        <v>2.39999999999999</v>
      </c>
      <c r="I59" s="5">
        <f t="shared" si="5"/>
        <v>1</v>
      </c>
      <c r="J59" s="6">
        <v>83.6</v>
      </c>
      <c r="K59" s="5" t="s">
        <v>150</v>
      </c>
      <c r="L59" s="5">
        <v>95</v>
      </c>
      <c r="M59" s="5">
        <v>92</v>
      </c>
      <c r="N59" s="5">
        <v>93</v>
      </c>
      <c r="O59" s="5">
        <v>95</v>
      </c>
      <c r="P59" s="5">
        <v>95</v>
      </c>
      <c r="Q59" s="10">
        <f t="shared" si="9"/>
        <v>94</v>
      </c>
      <c r="R59" s="5" t="s">
        <v>150</v>
      </c>
      <c r="S59" s="5">
        <v>90</v>
      </c>
      <c r="T59" s="5">
        <v>87</v>
      </c>
      <c r="U59" s="5">
        <v>90</v>
      </c>
      <c r="V59" s="5">
        <v>92</v>
      </c>
      <c r="W59" s="5">
        <v>90</v>
      </c>
      <c r="X59" s="10">
        <f t="shared" si="0"/>
        <v>89.8</v>
      </c>
      <c r="Y59" s="5" t="s">
        <v>150</v>
      </c>
      <c r="Z59" s="5">
        <v>95</v>
      </c>
      <c r="AA59" s="5">
        <v>100</v>
      </c>
      <c r="AB59" s="5">
        <v>95</v>
      </c>
      <c r="AC59" s="5">
        <v>95</v>
      </c>
      <c r="AD59" s="5">
        <v>95</v>
      </c>
      <c r="AE59" s="10">
        <f t="shared" si="1"/>
        <v>96</v>
      </c>
      <c r="AF59" s="5" t="s">
        <v>150</v>
      </c>
      <c r="AG59" s="5">
        <v>88</v>
      </c>
      <c r="AH59" s="5">
        <v>85</v>
      </c>
      <c r="AI59" s="5">
        <v>88</v>
      </c>
      <c r="AJ59" s="5">
        <v>88</v>
      </c>
      <c r="AK59" s="5">
        <v>92</v>
      </c>
      <c r="AL59" s="10">
        <f t="shared" si="2"/>
        <v>88.2</v>
      </c>
    </row>
    <row r="60" s="5" customFormat="1" spans="1:38">
      <c r="A60" s="5" t="s">
        <v>151</v>
      </c>
      <c r="B60" s="6">
        <v>45.2</v>
      </c>
      <c r="C60" s="6">
        <v>25.4</v>
      </c>
      <c r="D60" s="6">
        <v>36</v>
      </c>
      <c r="E60" s="6">
        <v>17.4</v>
      </c>
      <c r="F60" s="6">
        <v>29.4</v>
      </c>
      <c r="G60">
        <f t="shared" si="7"/>
        <v>30.68</v>
      </c>
      <c r="H60">
        <f t="shared" si="8"/>
        <v>27.8</v>
      </c>
      <c r="I60" s="5">
        <f t="shared" si="5"/>
        <v>1</v>
      </c>
      <c r="J60" s="6">
        <v>43.6</v>
      </c>
      <c r="K60" s="5" t="s">
        <v>151</v>
      </c>
      <c r="L60" s="5">
        <v>30</v>
      </c>
      <c r="M60" s="5">
        <v>10</v>
      </c>
      <c r="N60" s="5">
        <v>22</v>
      </c>
      <c r="O60" s="5">
        <v>8</v>
      </c>
      <c r="P60" s="5">
        <v>18</v>
      </c>
      <c r="Q60" s="10">
        <f t="shared" si="9"/>
        <v>17.6</v>
      </c>
      <c r="R60" s="5" t="s">
        <v>151</v>
      </c>
      <c r="S60" s="5">
        <v>60</v>
      </c>
      <c r="T60" s="5">
        <v>25</v>
      </c>
      <c r="U60" s="5">
        <v>55</v>
      </c>
      <c r="V60" s="5">
        <v>25</v>
      </c>
      <c r="W60" s="5">
        <v>35</v>
      </c>
      <c r="X60" s="10">
        <f t="shared" si="0"/>
        <v>40</v>
      </c>
      <c r="Y60" s="5" t="s">
        <v>151</v>
      </c>
      <c r="Z60" s="5">
        <v>80</v>
      </c>
      <c r="AA60" s="5">
        <v>70</v>
      </c>
      <c r="AB60" s="5">
        <v>45</v>
      </c>
      <c r="AC60" s="5">
        <v>30</v>
      </c>
      <c r="AD60" s="5">
        <v>40</v>
      </c>
      <c r="AE60" s="10">
        <f t="shared" si="1"/>
        <v>53</v>
      </c>
      <c r="AF60" s="5" t="s">
        <v>151</v>
      </c>
      <c r="AG60" s="5">
        <v>70</v>
      </c>
      <c r="AH60" s="5">
        <v>75</v>
      </c>
      <c r="AI60" s="5">
        <v>80</v>
      </c>
      <c r="AJ60" s="5">
        <v>50</v>
      </c>
      <c r="AK60" s="5">
        <v>85</v>
      </c>
      <c r="AL60" s="10">
        <f t="shared" si="2"/>
        <v>72</v>
      </c>
    </row>
    <row r="61" s="5" customFormat="1" spans="1:38">
      <c r="A61" s="5" t="s">
        <v>152</v>
      </c>
      <c r="B61" s="6">
        <v>80.8</v>
      </c>
      <c r="C61" s="6">
        <v>69.4</v>
      </c>
      <c r="D61" s="6">
        <v>75.8</v>
      </c>
      <c r="E61" s="6">
        <v>72.6</v>
      </c>
      <c r="F61" s="6">
        <v>75.2</v>
      </c>
      <c r="G61">
        <f t="shared" si="7"/>
        <v>74.76</v>
      </c>
      <c r="H61">
        <f t="shared" si="8"/>
        <v>11.4</v>
      </c>
      <c r="I61" s="5">
        <f t="shared" si="5"/>
        <v>1</v>
      </c>
      <c r="J61" s="6">
        <v>77.8</v>
      </c>
      <c r="K61" s="5" t="s">
        <v>152</v>
      </c>
      <c r="L61" s="5">
        <v>80</v>
      </c>
      <c r="M61" s="5">
        <v>65</v>
      </c>
      <c r="N61" s="5">
        <v>70</v>
      </c>
      <c r="O61" s="5">
        <v>68</v>
      </c>
      <c r="P61" s="5">
        <v>68</v>
      </c>
      <c r="Q61" s="10">
        <f t="shared" si="9"/>
        <v>70.2</v>
      </c>
      <c r="R61" s="5" t="s">
        <v>152</v>
      </c>
      <c r="S61" s="5">
        <v>80</v>
      </c>
      <c r="T61" s="5">
        <v>62</v>
      </c>
      <c r="U61" s="5">
        <v>78</v>
      </c>
      <c r="V61" s="5">
        <v>72</v>
      </c>
      <c r="W61" s="5">
        <v>85</v>
      </c>
      <c r="X61" s="10">
        <f t="shared" si="0"/>
        <v>75.4</v>
      </c>
      <c r="Y61" s="5" t="s">
        <v>152</v>
      </c>
      <c r="Z61" s="5">
        <v>90</v>
      </c>
      <c r="AA61" s="5">
        <v>100</v>
      </c>
      <c r="AB61" s="5">
        <v>92</v>
      </c>
      <c r="AC61" s="5">
        <v>92</v>
      </c>
      <c r="AD61" s="5">
        <v>92</v>
      </c>
      <c r="AE61" s="10">
        <f t="shared" si="1"/>
        <v>93.2</v>
      </c>
      <c r="AF61" s="5" t="s">
        <v>152</v>
      </c>
      <c r="AG61" s="5">
        <v>75</v>
      </c>
      <c r="AH61" s="5">
        <v>75</v>
      </c>
      <c r="AI61" s="5">
        <v>90</v>
      </c>
      <c r="AJ61" s="5">
        <v>80</v>
      </c>
      <c r="AK61" s="5">
        <v>80</v>
      </c>
      <c r="AL61" s="10">
        <f t="shared" si="2"/>
        <v>80</v>
      </c>
    </row>
    <row r="62" s="5" customFormat="1" spans="1:38">
      <c r="A62" s="5" t="s">
        <v>153</v>
      </c>
      <c r="B62" s="6">
        <v>51.8</v>
      </c>
      <c r="C62" s="6">
        <v>53.4</v>
      </c>
      <c r="D62" s="6">
        <v>43.6</v>
      </c>
      <c r="E62" s="6">
        <v>41</v>
      </c>
      <c r="F62" s="6">
        <v>61.8</v>
      </c>
      <c r="G62">
        <f t="shared" si="7"/>
        <v>50.32</v>
      </c>
      <c r="H62">
        <f t="shared" si="8"/>
        <v>20.8</v>
      </c>
      <c r="I62" s="5">
        <f t="shared" si="5"/>
        <v>0</v>
      </c>
      <c r="J62" s="6">
        <v>80.6</v>
      </c>
      <c r="K62" s="5" t="s">
        <v>153</v>
      </c>
      <c r="L62" s="5">
        <v>35</v>
      </c>
      <c r="M62" s="5">
        <v>42</v>
      </c>
      <c r="N62" s="5">
        <v>25</v>
      </c>
      <c r="O62" s="5">
        <v>32</v>
      </c>
      <c r="P62" s="5">
        <v>50</v>
      </c>
      <c r="Q62" s="10">
        <f t="shared" si="9"/>
        <v>36.8</v>
      </c>
      <c r="R62" s="5" t="s">
        <v>153</v>
      </c>
      <c r="S62" s="5">
        <v>70</v>
      </c>
      <c r="T62" s="5">
        <v>55</v>
      </c>
      <c r="U62" s="5">
        <v>55</v>
      </c>
      <c r="V62" s="5">
        <v>55</v>
      </c>
      <c r="W62" s="5">
        <v>70</v>
      </c>
      <c r="X62" s="10">
        <f t="shared" si="0"/>
        <v>61</v>
      </c>
      <c r="Y62" s="5" t="s">
        <v>153</v>
      </c>
      <c r="Z62" s="5">
        <v>90</v>
      </c>
      <c r="AA62" s="5">
        <v>90</v>
      </c>
      <c r="AB62" s="5">
        <v>90</v>
      </c>
      <c r="AC62" s="5">
        <v>50</v>
      </c>
      <c r="AD62" s="5">
        <v>92</v>
      </c>
      <c r="AE62" s="10">
        <f t="shared" si="1"/>
        <v>82.4</v>
      </c>
      <c r="AF62" s="5" t="s">
        <v>153</v>
      </c>
      <c r="AG62" s="5">
        <v>75</v>
      </c>
      <c r="AH62" s="5">
        <v>80</v>
      </c>
      <c r="AI62" s="5">
        <v>85</v>
      </c>
      <c r="AJ62" s="5">
        <v>60</v>
      </c>
      <c r="AK62" s="5">
        <v>85</v>
      </c>
      <c r="AL62" s="10">
        <f t="shared" si="2"/>
        <v>77</v>
      </c>
    </row>
    <row r="63" s="5" customFormat="1" spans="1:38">
      <c r="A63" s="5" t="s">
        <v>154</v>
      </c>
      <c r="B63" s="6">
        <v>78.8</v>
      </c>
      <c r="C63" s="6">
        <v>64</v>
      </c>
      <c r="D63" s="6">
        <v>78.2</v>
      </c>
      <c r="E63" s="6">
        <v>66.8</v>
      </c>
      <c r="F63" s="6">
        <v>76</v>
      </c>
      <c r="G63">
        <f t="shared" si="7"/>
        <v>72.76</v>
      </c>
      <c r="H63">
        <f t="shared" si="8"/>
        <v>14.8</v>
      </c>
      <c r="I63" s="5">
        <f t="shared" si="5"/>
        <v>1</v>
      </c>
      <c r="J63" s="6">
        <v>79.4</v>
      </c>
      <c r="K63" s="5" t="s">
        <v>154</v>
      </c>
      <c r="L63" s="5">
        <v>78</v>
      </c>
      <c r="M63" s="5">
        <v>60</v>
      </c>
      <c r="N63" s="5">
        <v>76</v>
      </c>
      <c r="O63" s="5">
        <v>65</v>
      </c>
      <c r="P63" s="5">
        <v>72</v>
      </c>
      <c r="Q63" s="10">
        <f t="shared" si="9"/>
        <v>70.2</v>
      </c>
      <c r="R63" s="5" t="s">
        <v>154</v>
      </c>
      <c r="S63" s="5">
        <v>75</v>
      </c>
      <c r="T63" s="5">
        <v>55</v>
      </c>
      <c r="U63" s="5">
        <v>72</v>
      </c>
      <c r="V63" s="5">
        <v>60</v>
      </c>
      <c r="W63" s="5">
        <v>75</v>
      </c>
      <c r="X63" s="10">
        <f t="shared" si="0"/>
        <v>67.4</v>
      </c>
      <c r="Y63" s="5" t="s">
        <v>154</v>
      </c>
      <c r="Z63" s="5">
        <v>90</v>
      </c>
      <c r="AA63" s="5">
        <v>95</v>
      </c>
      <c r="AB63" s="5">
        <v>92</v>
      </c>
      <c r="AC63" s="5">
        <v>92</v>
      </c>
      <c r="AD63" s="5">
        <v>92</v>
      </c>
      <c r="AE63" s="10">
        <f t="shared" si="1"/>
        <v>92.2</v>
      </c>
      <c r="AF63" s="5" t="s">
        <v>154</v>
      </c>
      <c r="AG63" s="5">
        <v>78</v>
      </c>
      <c r="AH63" s="5">
        <v>70</v>
      </c>
      <c r="AI63" s="5">
        <v>90</v>
      </c>
      <c r="AJ63" s="5">
        <v>60</v>
      </c>
      <c r="AK63" s="5">
        <v>85</v>
      </c>
      <c r="AL63" s="10">
        <f t="shared" si="2"/>
        <v>76.6</v>
      </c>
    </row>
    <row r="64" s="5" customFormat="1" spans="1:38">
      <c r="A64" s="5" t="s">
        <v>155</v>
      </c>
      <c r="B64" s="6">
        <v>23.8</v>
      </c>
      <c r="C64" s="6">
        <v>7.2</v>
      </c>
      <c r="D64" s="6">
        <v>35.2</v>
      </c>
      <c r="E64" s="6">
        <v>6.8</v>
      </c>
      <c r="F64" s="6">
        <v>23.4</v>
      </c>
      <c r="G64">
        <f t="shared" si="7"/>
        <v>19.28</v>
      </c>
      <c r="H64">
        <f t="shared" si="8"/>
        <v>28.4</v>
      </c>
      <c r="I64" s="5">
        <f t="shared" si="5"/>
        <v>1</v>
      </c>
      <c r="J64" s="6">
        <v>9</v>
      </c>
      <c r="K64" s="5" t="s">
        <v>155</v>
      </c>
      <c r="L64" s="5">
        <v>15</v>
      </c>
      <c r="M64" s="5">
        <v>5</v>
      </c>
      <c r="N64" s="5">
        <v>30</v>
      </c>
      <c r="O64" s="5">
        <v>5</v>
      </c>
      <c r="P64" s="5">
        <v>18</v>
      </c>
      <c r="Q64" s="10">
        <f t="shared" si="9"/>
        <v>14.6</v>
      </c>
      <c r="R64" s="5" t="s">
        <v>155</v>
      </c>
      <c r="S64" s="5">
        <v>40</v>
      </c>
      <c r="T64" s="5">
        <v>10</v>
      </c>
      <c r="U64" s="5">
        <v>40</v>
      </c>
      <c r="V64" s="5">
        <v>10</v>
      </c>
      <c r="W64" s="5">
        <v>25</v>
      </c>
      <c r="X64" s="10">
        <f t="shared" si="0"/>
        <v>25</v>
      </c>
      <c r="Y64" s="5" t="s">
        <v>155</v>
      </c>
      <c r="Z64" s="5">
        <v>30</v>
      </c>
      <c r="AA64" s="5">
        <v>5</v>
      </c>
      <c r="AB64" s="5">
        <v>40</v>
      </c>
      <c r="AC64" s="5">
        <v>5</v>
      </c>
      <c r="AD64" s="5">
        <v>30</v>
      </c>
      <c r="AE64" s="10">
        <f t="shared" si="1"/>
        <v>22</v>
      </c>
      <c r="AF64" s="5" t="s">
        <v>155</v>
      </c>
      <c r="AG64" s="5">
        <v>40</v>
      </c>
      <c r="AH64" s="5">
        <v>20</v>
      </c>
      <c r="AI64" s="5">
        <v>55</v>
      </c>
      <c r="AJ64" s="5">
        <v>15</v>
      </c>
      <c r="AK64" s="5">
        <v>50</v>
      </c>
      <c r="AL64" s="10">
        <f t="shared" si="2"/>
        <v>36</v>
      </c>
    </row>
    <row r="65" s="5" customFormat="1" spans="1:38">
      <c r="A65" s="5" t="s">
        <v>156</v>
      </c>
      <c r="B65" s="6">
        <v>92.4</v>
      </c>
      <c r="C65" s="6">
        <v>92.4</v>
      </c>
      <c r="D65" s="6">
        <v>92.2</v>
      </c>
      <c r="E65" s="6">
        <v>93.6</v>
      </c>
      <c r="F65" s="6">
        <v>93.8</v>
      </c>
      <c r="G65">
        <f t="shared" si="7"/>
        <v>92.88</v>
      </c>
      <c r="H65">
        <f t="shared" si="8"/>
        <v>1.59999999999999</v>
      </c>
      <c r="I65" s="5">
        <f t="shared" si="5"/>
        <v>1</v>
      </c>
      <c r="J65" s="6">
        <v>91.6</v>
      </c>
      <c r="K65" s="5" t="s">
        <v>156</v>
      </c>
      <c r="L65" s="5">
        <v>93</v>
      </c>
      <c r="M65" s="5">
        <v>92</v>
      </c>
      <c r="N65" s="5">
        <v>93</v>
      </c>
      <c r="O65" s="5">
        <v>95</v>
      </c>
      <c r="P65" s="5">
        <v>95</v>
      </c>
      <c r="Q65" s="10">
        <f t="shared" si="9"/>
        <v>93.6</v>
      </c>
      <c r="R65" s="5" t="s">
        <v>156</v>
      </c>
      <c r="S65" s="5">
        <v>90</v>
      </c>
      <c r="T65" s="5">
        <v>90</v>
      </c>
      <c r="U65" s="5">
        <v>90</v>
      </c>
      <c r="V65" s="5">
        <v>90</v>
      </c>
      <c r="W65" s="5">
        <v>92</v>
      </c>
      <c r="X65" s="10">
        <f t="shared" si="0"/>
        <v>90.4</v>
      </c>
      <c r="Y65" s="5" t="s">
        <v>156</v>
      </c>
      <c r="Z65" s="5">
        <v>95</v>
      </c>
      <c r="AA65" s="5">
        <v>100</v>
      </c>
      <c r="AB65" s="5">
        <v>95</v>
      </c>
      <c r="AC65" s="5">
        <v>95</v>
      </c>
      <c r="AD65" s="5">
        <v>95</v>
      </c>
      <c r="AE65" s="10">
        <f t="shared" si="1"/>
        <v>96</v>
      </c>
      <c r="AF65" s="5" t="s">
        <v>156</v>
      </c>
      <c r="AG65" s="5">
        <v>90</v>
      </c>
      <c r="AH65" s="5">
        <v>90</v>
      </c>
      <c r="AI65" s="5">
        <v>88</v>
      </c>
      <c r="AJ65" s="5">
        <v>90</v>
      </c>
      <c r="AK65" s="5">
        <v>88</v>
      </c>
      <c r="AL65" s="10">
        <f t="shared" si="2"/>
        <v>89.2</v>
      </c>
    </row>
    <row r="66" s="5" customFormat="1" spans="1:38">
      <c r="A66" s="5" t="s">
        <v>157</v>
      </c>
      <c r="B66" s="6">
        <v>15.4</v>
      </c>
      <c r="C66" s="6">
        <v>9.2</v>
      </c>
      <c r="D66" s="6">
        <v>21.8</v>
      </c>
      <c r="E66" s="6">
        <v>4.2</v>
      </c>
      <c r="F66" s="6">
        <v>16</v>
      </c>
      <c r="G66">
        <f t="shared" si="7"/>
        <v>13.32</v>
      </c>
      <c r="H66">
        <f t="shared" si="8"/>
        <v>17.6</v>
      </c>
      <c r="I66" s="5">
        <f t="shared" si="5"/>
        <v>1</v>
      </c>
      <c r="J66" s="6">
        <v>9</v>
      </c>
      <c r="K66" s="5" t="s">
        <v>157</v>
      </c>
      <c r="L66" s="5">
        <v>10</v>
      </c>
      <c r="M66" s="5">
        <v>5</v>
      </c>
      <c r="N66" s="5">
        <v>15</v>
      </c>
      <c r="O66" s="5">
        <v>3</v>
      </c>
      <c r="P66" s="5">
        <v>10</v>
      </c>
      <c r="Q66" s="10">
        <f t="shared" si="9"/>
        <v>8.6</v>
      </c>
      <c r="R66" s="5" t="s">
        <v>157</v>
      </c>
      <c r="S66" s="5">
        <v>25</v>
      </c>
      <c r="T66" s="5">
        <v>5</v>
      </c>
      <c r="U66" s="5">
        <v>30</v>
      </c>
      <c r="V66" s="5">
        <v>5</v>
      </c>
      <c r="W66" s="5">
        <v>15</v>
      </c>
      <c r="X66" s="10">
        <f t="shared" si="0"/>
        <v>16</v>
      </c>
      <c r="Y66" s="5" t="s">
        <v>157</v>
      </c>
      <c r="Z66" s="5">
        <v>20</v>
      </c>
      <c r="AA66" s="5">
        <v>30</v>
      </c>
      <c r="AB66" s="5">
        <v>30</v>
      </c>
      <c r="AC66" s="5">
        <v>5</v>
      </c>
      <c r="AD66" s="5">
        <v>25</v>
      </c>
      <c r="AE66" s="10">
        <f t="shared" si="1"/>
        <v>22</v>
      </c>
      <c r="AF66" s="5" t="s">
        <v>157</v>
      </c>
      <c r="AG66" s="5">
        <v>25</v>
      </c>
      <c r="AH66" s="5">
        <v>20</v>
      </c>
      <c r="AI66" s="5">
        <v>40</v>
      </c>
      <c r="AJ66" s="5">
        <v>10</v>
      </c>
      <c r="AK66" s="5">
        <v>50</v>
      </c>
      <c r="AL66" s="10">
        <f t="shared" si="2"/>
        <v>29</v>
      </c>
    </row>
    <row r="67" s="5" customFormat="1" spans="1:38">
      <c r="A67" s="5" t="s">
        <v>158</v>
      </c>
      <c r="B67" s="6">
        <v>73.4</v>
      </c>
      <c r="C67" s="6">
        <v>54</v>
      </c>
      <c r="D67" s="6">
        <v>74</v>
      </c>
      <c r="E67" s="6">
        <v>46.4</v>
      </c>
      <c r="F67" s="6">
        <v>69.6</v>
      </c>
      <c r="G67">
        <f t="shared" si="7"/>
        <v>63.48</v>
      </c>
      <c r="H67">
        <f t="shared" si="8"/>
        <v>27.6</v>
      </c>
      <c r="I67" s="5">
        <f t="shared" si="5"/>
        <v>0</v>
      </c>
      <c r="J67" s="6">
        <v>55.2</v>
      </c>
      <c r="K67" s="5" t="s">
        <v>158</v>
      </c>
      <c r="L67" s="5">
        <v>72</v>
      </c>
      <c r="M67" s="5">
        <v>50</v>
      </c>
      <c r="N67" s="5">
        <v>72</v>
      </c>
      <c r="O67" s="5">
        <v>42</v>
      </c>
      <c r="P67" s="5">
        <v>68</v>
      </c>
      <c r="Q67" s="10">
        <f t="shared" si="9"/>
        <v>60.8</v>
      </c>
      <c r="R67" s="5" t="s">
        <v>158</v>
      </c>
      <c r="S67" s="5">
        <v>70</v>
      </c>
      <c r="T67" s="5">
        <v>45</v>
      </c>
      <c r="U67" s="5">
        <v>68</v>
      </c>
      <c r="V67" s="5">
        <v>45</v>
      </c>
      <c r="W67" s="5">
        <v>60</v>
      </c>
      <c r="X67" s="10">
        <f t="shared" si="0"/>
        <v>57.6</v>
      </c>
      <c r="Y67" s="5" t="s">
        <v>158</v>
      </c>
      <c r="Z67" s="5">
        <v>90</v>
      </c>
      <c r="AA67" s="5">
        <v>75</v>
      </c>
      <c r="AB67" s="5">
        <v>90</v>
      </c>
      <c r="AC67" s="5">
        <v>55</v>
      </c>
      <c r="AD67" s="5">
        <v>90</v>
      </c>
      <c r="AE67" s="10">
        <f t="shared" si="1"/>
        <v>80</v>
      </c>
      <c r="AF67" s="5" t="s">
        <v>158</v>
      </c>
      <c r="AG67" s="5">
        <v>68</v>
      </c>
      <c r="AH67" s="5">
        <v>75</v>
      </c>
      <c r="AI67" s="5">
        <v>80</v>
      </c>
      <c r="AJ67" s="5">
        <v>70</v>
      </c>
      <c r="AK67" s="5">
        <v>75</v>
      </c>
      <c r="AL67" s="10">
        <f t="shared" si="2"/>
        <v>73.6</v>
      </c>
    </row>
    <row r="68" s="5" customFormat="1" spans="1:38">
      <c r="A68" s="5" t="s">
        <v>159</v>
      </c>
      <c r="B68" s="6">
        <v>46.4</v>
      </c>
      <c r="C68" s="6">
        <v>20.6</v>
      </c>
      <c r="D68" s="6">
        <v>38.2</v>
      </c>
      <c r="E68" s="6">
        <v>13.6</v>
      </c>
      <c r="F68" s="6">
        <v>29.8</v>
      </c>
      <c r="G68">
        <f t="shared" si="7"/>
        <v>29.72</v>
      </c>
      <c r="H68">
        <f t="shared" si="8"/>
        <v>32.8</v>
      </c>
      <c r="I68" s="5">
        <f t="shared" si="5"/>
        <v>1</v>
      </c>
      <c r="J68" s="6">
        <v>32</v>
      </c>
      <c r="K68" s="5" t="s">
        <v>159</v>
      </c>
      <c r="L68" s="5">
        <v>30</v>
      </c>
      <c r="M68" s="5">
        <v>5</v>
      </c>
      <c r="N68" s="5">
        <v>18</v>
      </c>
      <c r="O68" s="5">
        <v>5</v>
      </c>
      <c r="P68" s="5">
        <v>15</v>
      </c>
      <c r="Q68" s="10">
        <f t="shared" si="9"/>
        <v>14.6</v>
      </c>
      <c r="R68" s="5" t="s">
        <v>159</v>
      </c>
      <c r="S68" s="5">
        <v>65</v>
      </c>
      <c r="T68" s="5">
        <v>30</v>
      </c>
      <c r="U68" s="5">
        <v>50</v>
      </c>
      <c r="V68" s="5">
        <v>25</v>
      </c>
      <c r="W68" s="5">
        <v>40</v>
      </c>
      <c r="X68" s="10">
        <f t="shared" si="0"/>
        <v>42</v>
      </c>
      <c r="Y68" s="5" t="s">
        <v>159</v>
      </c>
      <c r="Z68" s="5">
        <v>85</v>
      </c>
      <c r="AA68" s="5">
        <v>50</v>
      </c>
      <c r="AB68" s="5">
        <v>88</v>
      </c>
      <c r="AC68" s="5">
        <v>20</v>
      </c>
      <c r="AD68" s="5">
        <v>50</v>
      </c>
      <c r="AE68" s="10">
        <f t="shared" si="1"/>
        <v>58.6</v>
      </c>
      <c r="AF68" s="5" t="s">
        <v>159</v>
      </c>
      <c r="AG68" s="5">
        <v>65</v>
      </c>
      <c r="AH68" s="5">
        <v>70</v>
      </c>
      <c r="AI68" s="5">
        <v>85</v>
      </c>
      <c r="AJ68" s="5">
        <v>40</v>
      </c>
      <c r="AK68" s="5">
        <v>85</v>
      </c>
      <c r="AL68" s="10">
        <f t="shared" si="2"/>
        <v>69</v>
      </c>
    </row>
    <row r="69" s="5" customFormat="1" spans="1:38">
      <c r="A69" s="5" t="s">
        <v>160</v>
      </c>
      <c r="B69" s="6">
        <v>80.8</v>
      </c>
      <c r="C69" s="6">
        <v>69.4</v>
      </c>
      <c r="D69" s="6">
        <v>75.8</v>
      </c>
      <c r="E69" s="6">
        <v>72.6</v>
      </c>
      <c r="F69" s="6">
        <v>75.2</v>
      </c>
      <c r="G69">
        <f t="shared" si="7"/>
        <v>74.76</v>
      </c>
      <c r="H69">
        <f t="shared" si="8"/>
        <v>11.4</v>
      </c>
      <c r="I69" s="5">
        <f t="shared" ref="I69:I132" si="10">IF(AND(B69&gt;=60,C69&gt;=60,D69&gt;=60,E69&gt;=60,F69&gt;=60),1,IF(AND(B69&lt;60,C69&lt;60,D69&lt;60,E69&lt;60,F69&lt;60),1,0))</f>
        <v>1</v>
      </c>
      <c r="J69" s="6">
        <v>79.2</v>
      </c>
      <c r="K69" s="5" t="s">
        <v>160</v>
      </c>
      <c r="L69" s="5">
        <v>80</v>
      </c>
      <c r="M69" s="5">
        <v>65</v>
      </c>
      <c r="N69" s="5">
        <v>70</v>
      </c>
      <c r="O69" s="5">
        <v>68</v>
      </c>
      <c r="P69" s="5">
        <v>68</v>
      </c>
      <c r="Q69" s="10">
        <f t="shared" si="9"/>
        <v>70.2</v>
      </c>
      <c r="R69" s="5" t="s">
        <v>160</v>
      </c>
      <c r="S69" s="5">
        <v>80</v>
      </c>
      <c r="T69" s="5">
        <v>62</v>
      </c>
      <c r="U69" s="5">
        <v>78</v>
      </c>
      <c r="V69" s="5">
        <v>72</v>
      </c>
      <c r="W69" s="5">
        <v>85</v>
      </c>
      <c r="X69" s="10">
        <f t="shared" ref="X69:X132" si="11">AVERAGE(S69:W69)</f>
        <v>75.4</v>
      </c>
      <c r="Y69" s="5" t="s">
        <v>160</v>
      </c>
      <c r="Z69" s="5">
        <v>90</v>
      </c>
      <c r="AA69" s="5">
        <v>100</v>
      </c>
      <c r="AB69" s="5">
        <v>92</v>
      </c>
      <c r="AC69" s="5">
        <v>92</v>
      </c>
      <c r="AD69" s="5">
        <v>92</v>
      </c>
      <c r="AE69" s="10">
        <f t="shared" ref="AE69:AE132" si="12">AVERAGE(Z69:AD69)</f>
        <v>93.2</v>
      </c>
      <c r="AF69" s="5" t="s">
        <v>160</v>
      </c>
      <c r="AG69" s="5">
        <v>75</v>
      </c>
      <c r="AH69" s="5">
        <v>75</v>
      </c>
      <c r="AI69" s="5">
        <v>90</v>
      </c>
      <c r="AJ69" s="5">
        <v>80</v>
      </c>
      <c r="AK69" s="5">
        <v>80</v>
      </c>
      <c r="AL69" s="10">
        <f t="shared" ref="AL69:AL132" si="13">AVERAGE(AG69:AK69)</f>
        <v>80</v>
      </c>
    </row>
    <row r="70" s="5" customFormat="1" spans="1:38">
      <c r="A70" s="5" t="s">
        <v>161</v>
      </c>
      <c r="B70" s="6">
        <v>80</v>
      </c>
      <c r="C70" s="6">
        <v>86.2</v>
      </c>
      <c r="D70" s="6">
        <v>86.2</v>
      </c>
      <c r="E70" s="6">
        <v>92</v>
      </c>
      <c r="F70" s="6">
        <v>84.5</v>
      </c>
      <c r="G70">
        <f t="shared" ref="G70:G101" si="14">AVERAGE(B70:F70)</f>
        <v>85.78</v>
      </c>
      <c r="H70">
        <f t="shared" ref="H70:H101" si="15">MAX(B70:F70)-MIN(B70:F70)</f>
        <v>12</v>
      </c>
      <c r="I70" s="5">
        <f t="shared" si="10"/>
        <v>1</v>
      </c>
      <c r="J70" s="6">
        <v>80.4</v>
      </c>
      <c r="K70" s="5" t="s">
        <v>161</v>
      </c>
      <c r="L70" s="5">
        <v>78</v>
      </c>
      <c r="M70" s="5">
        <v>85</v>
      </c>
      <c r="N70" s="5">
        <v>85</v>
      </c>
      <c r="O70" s="5">
        <v>93</v>
      </c>
      <c r="P70" s="5">
        <v>82</v>
      </c>
      <c r="Q70" s="10">
        <f t="shared" ref="Q70:Q101" si="16">AVERAGE(L70:P70)</f>
        <v>84.6</v>
      </c>
      <c r="R70" s="5" t="s">
        <v>161</v>
      </c>
      <c r="S70" s="5">
        <v>85</v>
      </c>
      <c r="T70" s="5">
        <v>82</v>
      </c>
      <c r="U70" s="5">
        <v>85</v>
      </c>
      <c r="V70" s="5">
        <v>88</v>
      </c>
      <c r="W70" s="5">
        <v>88</v>
      </c>
      <c r="X70" s="10">
        <f t="shared" si="11"/>
        <v>85.6</v>
      </c>
      <c r="Y70" s="5" t="s">
        <v>161</v>
      </c>
      <c r="Z70" s="5">
        <v>90</v>
      </c>
      <c r="AA70" s="5">
        <v>100</v>
      </c>
      <c r="AB70" s="5">
        <v>95</v>
      </c>
      <c r="AC70" s="5">
        <v>95</v>
      </c>
      <c r="AD70" s="5">
        <v>93</v>
      </c>
      <c r="AE70" s="10">
        <f t="shared" si="12"/>
        <v>94.6</v>
      </c>
      <c r="AF70" s="5" t="s">
        <v>161</v>
      </c>
      <c r="AG70" s="5">
        <v>68</v>
      </c>
      <c r="AH70" s="5">
        <v>85</v>
      </c>
      <c r="AI70" s="5">
        <v>85</v>
      </c>
      <c r="AJ70" s="5">
        <v>90</v>
      </c>
      <c r="AK70" s="5">
        <v>82</v>
      </c>
      <c r="AL70" s="10">
        <f t="shared" si="13"/>
        <v>82</v>
      </c>
    </row>
    <row r="71" s="5" customFormat="1" spans="1:38">
      <c r="A71" s="5" t="s">
        <v>162</v>
      </c>
      <c r="B71" s="6">
        <v>93.8</v>
      </c>
      <c r="C71" s="6">
        <v>91</v>
      </c>
      <c r="D71" s="6">
        <v>91.8</v>
      </c>
      <c r="E71" s="6">
        <v>93.6</v>
      </c>
      <c r="F71" s="6">
        <v>92.9</v>
      </c>
      <c r="G71">
        <f t="shared" si="14"/>
        <v>92.62</v>
      </c>
      <c r="H71">
        <f t="shared" si="15"/>
        <v>2.8</v>
      </c>
      <c r="I71" s="5">
        <f t="shared" si="10"/>
        <v>1</v>
      </c>
      <c r="J71" s="6">
        <v>85.4</v>
      </c>
      <c r="K71" s="5" t="s">
        <v>162</v>
      </c>
      <c r="L71" s="5">
        <v>95</v>
      </c>
      <c r="M71" s="5">
        <v>92</v>
      </c>
      <c r="N71" s="5">
        <v>93</v>
      </c>
      <c r="O71" s="5">
        <v>95</v>
      </c>
      <c r="P71" s="5">
        <v>94</v>
      </c>
      <c r="Q71" s="10">
        <f t="shared" si="16"/>
        <v>93.8</v>
      </c>
      <c r="R71" s="5" t="s">
        <v>162</v>
      </c>
      <c r="S71" s="5">
        <v>90</v>
      </c>
      <c r="T71" s="5">
        <v>85</v>
      </c>
      <c r="U71" s="5">
        <v>88</v>
      </c>
      <c r="V71" s="5">
        <v>90</v>
      </c>
      <c r="W71" s="5">
        <v>90</v>
      </c>
      <c r="X71" s="10">
        <f t="shared" si="11"/>
        <v>88.6</v>
      </c>
      <c r="Y71" s="5" t="s">
        <v>162</v>
      </c>
      <c r="Z71" s="5">
        <v>95</v>
      </c>
      <c r="AA71" s="5">
        <v>100</v>
      </c>
      <c r="AB71" s="5">
        <v>95</v>
      </c>
      <c r="AC71" s="5">
        <v>95</v>
      </c>
      <c r="AD71" s="5">
        <v>94</v>
      </c>
      <c r="AE71" s="10">
        <f t="shared" si="12"/>
        <v>95.8</v>
      </c>
      <c r="AF71" s="5" t="s">
        <v>162</v>
      </c>
      <c r="AG71" s="5">
        <v>92</v>
      </c>
      <c r="AH71" s="5">
        <v>85</v>
      </c>
      <c r="AI71" s="5">
        <v>88</v>
      </c>
      <c r="AJ71" s="5">
        <v>90</v>
      </c>
      <c r="AK71" s="5">
        <v>90</v>
      </c>
      <c r="AL71" s="10">
        <f t="shared" si="13"/>
        <v>89</v>
      </c>
    </row>
    <row r="72" s="5" customFormat="1" spans="1:38">
      <c r="A72" s="5" t="s">
        <v>163</v>
      </c>
      <c r="B72" s="6">
        <v>82.6</v>
      </c>
      <c r="C72" s="6">
        <v>83</v>
      </c>
      <c r="D72" s="6">
        <v>88.1</v>
      </c>
      <c r="E72" s="6">
        <v>81.6</v>
      </c>
      <c r="F72" s="6">
        <v>82</v>
      </c>
      <c r="G72">
        <f t="shared" si="14"/>
        <v>83.46</v>
      </c>
      <c r="H72">
        <f t="shared" si="15"/>
        <v>6.5</v>
      </c>
      <c r="I72" s="5">
        <f t="shared" si="10"/>
        <v>1</v>
      </c>
      <c r="J72" s="6">
        <v>72.4</v>
      </c>
      <c r="K72" s="5" t="s">
        <v>163</v>
      </c>
      <c r="L72" s="5">
        <v>82</v>
      </c>
      <c r="M72" s="5">
        <v>82</v>
      </c>
      <c r="N72" s="5">
        <v>88</v>
      </c>
      <c r="O72" s="5">
        <v>78</v>
      </c>
      <c r="P72" s="5">
        <v>78</v>
      </c>
      <c r="Q72" s="10">
        <f t="shared" si="16"/>
        <v>81.6</v>
      </c>
      <c r="R72" s="5" t="s">
        <v>163</v>
      </c>
      <c r="S72" s="5">
        <v>85</v>
      </c>
      <c r="T72" s="5">
        <v>75</v>
      </c>
      <c r="U72" s="5">
        <v>85</v>
      </c>
      <c r="V72" s="5">
        <v>85</v>
      </c>
      <c r="W72" s="5">
        <v>88</v>
      </c>
      <c r="X72" s="10">
        <f t="shared" si="11"/>
        <v>83.6</v>
      </c>
      <c r="Y72" s="5" t="s">
        <v>163</v>
      </c>
      <c r="Z72" s="5">
        <v>90</v>
      </c>
      <c r="AA72" s="5">
        <v>100</v>
      </c>
      <c r="AB72" s="5">
        <v>95</v>
      </c>
      <c r="AC72" s="5">
        <v>95</v>
      </c>
      <c r="AD72" s="5">
        <v>93</v>
      </c>
      <c r="AE72" s="10">
        <f t="shared" si="12"/>
        <v>94.6</v>
      </c>
      <c r="AF72" s="5" t="s">
        <v>163</v>
      </c>
      <c r="AG72" s="5">
        <v>70</v>
      </c>
      <c r="AH72" s="5">
        <v>85</v>
      </c>
      <c r="AI72" s="5">
        <v>86</v>
      </c>
      <c r="AJ72" s="5">
        <v>80</v>
      </c>
      <c r="AK72" s="5">
        <v>80</v>
      </c>
      <c r="AL72" s="10">
        <f t="shared" si="13"/>
        <v>80.2</v>
      </c>
    </row>
    <row r="73" s="5" customFormat="1" spans="1:38">
      <c r="A73" s="5" t="s">
        <v>164</v>
      </c>
      <c r="B73" s="6">
        <v>76</v>
      </c>
      <c r="C73" s="6">
        <v>58.6</v>
      </c>
      <c r="D73" s="6">
        <v>73.4</v>
      </c>
      <c r="E73" s="6">
        <v>59.8</v>
      </c>
      <c r="F73" s="6">
        <v>72</v>
      </c>
      <c r="G73">
        <f t="shared" si="14"/>
        <v>67.96</v>
      </c>
      <c r="H73">
        <f t="shared" si="15"/>
        <v>17.4</v>
      </c>
      <c r="I73" s="5">
        <f t="shared" si="10"/>
        <v>0</v>
      </c>
      <c r="J73" s="6">
        <v>62</v>
      </c>
      <c r="K73" s="5" t="s">
        <v>164</v>
      </c>
      <c r="L73" s="5">
        <v>76</v>
      </c>
      <c r="M73" s="5">
        <v>55</v>
      </c>
      <c r="N73" s="5">
        <v>72</v>
      </c>
      <c r="O73" s="5">
        <v>58</v>
      </c>
      <c r="P73" s="5">
        <v>70</v>
      </c>
      <c r="Q73" s="10">
        <f t="shared" si="16"/>
        <v>66.2</v>
      </c>
      <c r="R73" s="5" t="s">
        <v>164</v>
      </c>
      <c r="S73" s="5">
        <v>68</v>
      </c>
      <c r="T73" s="5">
        <v>45</v>
      </c>
      <c r="U73" s="5">
        <v>60</v>
      </c>
      <c r="V73" s="5">
        <v>50</v>
      </c>
      <c r="W73" s="5">
        <v>62</v>
      </c>
      <c r="X73" s="10">
        <f t="shared" si="11"/>
        <v>57</v>
      </c>
      <c r="Y73" s="5" t="s">
        <v>164</v>
      </c>
      <c r="Z73" s="5">
        <v>90</v>
      </c>
      <c r="AA73" s="5">
        <v>95</v>
      </c>
      <c r="AB73" s="5">
        <v>92</v>
      </c>
      <c r="AC73" s="5">
        <v>88</v>
      </c>
      <c r="AD73" s="5">
        <v>90</v>
      </c>
      <c r="AE73" s="10">
        <f t="shared" si="12"/>
        <v>91</v>
      </c>
      <c r="AF73" s="5" t="s">
        <v>164</v>
      </c>
      <c r="AG73" s="5">
        <v>75</v>
      </c>
      <c r="AH73" s="5">
        <v>65</v>
      </c>
      <c r="AI73" s="5">
        <v>90</v>
      </c>
      <c r="AJ73" s="5">
        <v>55</v>
      </c>
      <c r="AK73" s="5">
        <v>85</v>
      </c>
      <c r="AL73" s="10">
        <f t="shared" si="13"/>
        <v>74</v>
      </c>
    </row>
    <row r="74" s="5" customFormat="1" spans="1:38">
      <c r="A74" s="5" t="s">
        <v>165</v>
      </c>
      <c r="B74" s="6">
        <v>74.4</v>
      </c>
      <c r="C74" s="6">
        <v>80.6</v>
      </c>
      <c r="D74" s="6">
        <v>81.7</v>
      </c>
      <c r="E74" s="6">
        <v>73.2</v>
      </c>
      <c r="F74" s="6">
        <v>80.1</v>
      </c>
      <c r="G74">
        <f t="shared" si="14"/>
        <v>78</v>
      </c>
      <c r="H74">
        <f t="shared" si="15"/>
        <v>8.5</v>
      </c>
      <c r="I74" s="5">
        <f t="shared" si="10"/>
        <v>1</v>
      </c>
      <c r="J74" s="6">
        <v>66.8</v>
      </c>
      <c r="K74" s="5" t="s">
        <v>165</v>
      </c>
      <c r="L74" s="5">
        <v>70</v>
      </c>
      <c r="M74" s="5">
        <v>78</v>
      </c>
      <c r="N74" s="5">
        <v>80</v>
      </c>
      <c r="O74" s="5">
        <v>70</v>
      </c>
      <c r="P74" s="5">
        <v>76</v>
      </c>
      <c r="Q74" s="10">
        <f t="shared" si="16"/>
        <v>74.8</v>
      </c>
      <c r="R74" s="5" t="s">
        <v>165</v>
      </c>
      <c r="S74" s="5">
        <v>80</v>
      </c>
      <c r="T74" s="5">
        <v>75</v>
      </c>
      <c r="U74" s="5">
        <v>80</v>
      </c>
      <c r="V74" s="5">
        <v>75</v>
      </c>
      <c r="W74" s="5">
        <v>86</v>
      </c>
      <c r="X74" s="10">
        <f t="shared" si="11"/>
        <v>79.2</v>
      </c>
      <c r="Y74" s="5" t="s">
        <v>165</v>
      </c>
      <c r="Z74" s="5">
        <v>90</v>
      </c>
      <c r="AA74" s="5">
        <v>100</v>
      </c>
      <c r="AB74" s="5">
        <v>93</v>
      </c>
      <c r="AC74" s="5">
        <v>90</v>
      </c>
      <c r="AD74" s="5">
        <v>92</v>
      </c>
      <c r="AE74" s="10">
        <f t="shared" si="12"/>
        <v>93</v>
      </c>
      <c r="AF74" s="5" t="s">
        <v>165</v>
      </c>
      <c r="AG74" s="5">
        <v>70</v>
      </c>
      <c r="AH74" s="5">
        <v>85</v>
      </c>
      <c r="AI74" s="5">
        <v>82</v>
      </c>
      <c r="AJ74" s="5">
        <v>68</v>
      </c>
      <c r="AK74" s="5">
        <v>78</v>
      </c>
      <c r="AL74" s="10">
        <f t="shared" si="13"/>
        <v>76.6</v>
      </c>
    </row>
    <row r="75" s="5" customFormat="1" spans="1:38">
      <c r="A75" s="5" t="s">
        <v>166</v>
      </c>
      <c r="B75" s="6">
        <v>93.4</v>
      </c>
      <c r="C75" s="6">
        <v>91.2</v>
      </c>
      <c r="D75" s="6">
        <v>90.8</v>
      </c>
      <c r="E75" s="6">
        <v>93.8</v>
      </c>
      <c r="F75" s="6">
        <v>92.9</v>
      </c>
      <c r="G75">
        <f t="shared" si="14"/>
        <v>92.42</v>
      </c>
      <c r="H75">
        <f t="shared" si="15"/>
        <v>3</v>
      </c>
      <c r="I75" s="5">
        <f t="shared" si="10"/>
        <v>1</v>
      </c>
      <c r="J75" s="6">
        <v>79.2</v>
      </c>
      <c r="K75" s="5" t="s">
        <v>166</v>
      </c>
      <c r="L75" s="5">
        <v>95</v>
      </c>
      <c r="M75" s="5">
        <v>92</v>
      </c>
      <c r="N75" s="5">
        <v>92</v>
      </c>
      <c r="O75" s="5">
        <v>95</v>
      </c>
      <c r="P75" s="5">
        <v>94</v>
      </c>
      <c r="Q75" s="10">
        <f t="shared" si="16"/>
        <v>93.6</v>
      </c>
      <c r="R75" s="5" t="s">
        <v>166</v>
      </c>
      <c r="S75" s="5">
        <v>90</v>
      </c>
      <c r="T75" s="5">
        <v>86</v>
      </c>
      <c r="U75" s="5">
        <v>86</v>
      </c>
      <c r="V75" s="5">
        <v>92</v>
      </c>
      <c r="W75" s="5">
        <v>90</v>
      </c>
      <c r="X75" s="10">
        <f t="shared" si="11"/>
        <v>88.8</v>
      </c>
      <c r="Y75" s="5" t="s">
        <v>166</v>
      </c>
      <c r="Z75" s="5">
        <v>95</v>
      </c>
      <c r="AA75" s="5">
        <v>100</v>
      </c>
      <c r="AB75" s="5">
        <v>95</v>
      </c>
      <c r="AC75" s="5">
        <v>95</v>
      </c>
      <c r="AD75" s="5">
        <v>94</v>
      </c>
      <c r="AE75" s="10">
        <f t="shared" si="12"/>
        <v>95.8</v>
      </c>
      <c r="AF75" s="5" t="s">
        <v>166</v>
      </c>
      <c r="AG75" s="5">
        <v>88</v>
      </c>
      <c r="AH75" s="5">
        <v>85</v>
      </c>
      <c r="AI75" s="5">
        <v>88</v>
      </c>
      <c r="AJ75" s="5">
        <v>88</v>
      </c>
      <c r="AK75" s="5">
        <v>90</v>
      </c>
      <c r="AL75" s="10">
        <f t="shared" si="13"/>
        <v>87.8</v>
      </c>
    </row>
    <row r="76" s="5" customFormat="1" spans="1:38">
      <c r="A76" s="5" t="s">
        <v>167</v>
      </c>
      <c r="B76" s="6">
        <v>81</v>
      </c>
      <c r="C76" s="6">
        <v>71.4</v>
      </c>
      <c r="D76" s="6">
        <v>84.2</v>
      </c>
      <c r="E76" s="6">
        <v>74.6</v>
      </c>
      <c r="F76" s="6">
        <v>73.4</v>
      </c>
      <c r="G76">
        <f t="shared" si="14"/>
        <v>76.92</v>
      </c>
      <c r="H76">
        <f t="shared" si="15"/>
        <v>12.8</v>
      </c>
      <c r="I76" s="5">
        <f t="shared" si="10"/>
        <v>1</v>
      </c>
      <c r="J76" s="6">
        <v>77.8</v>
      </c>
      <c r="K76" s="5" t="s">
        <v>167</v>
      </c>
      <c r="L76" s="5">
        <v>82</v>
      </c>
      <c r="M76" s="5">
        <v>70</v>
      </c>
      <c r="N76" s="5">
        <v>85</v>
      </c>
      <c r="O76" s="5">
        <v>75</v>
      </c>
      <c r="P76" s="5">
        <v>74</v>
      </c>
      <c r="Q76" s="10">
        <f t="shared" si="16"/>
        <v>77.2</v>
      </c>
      <c r="R76" s="5" t="s">
        <v>167</v>
      </c>
      <c r="S76" s="5">
        <v>78</v>
      </c>
      <c r="T76" s="5">
        <v>55</v>
      </c>
      <c r="U76" s="5">
        <v>78</v>
      </c>
      <c r="V76" s="5">
        <v>60</v>
      </c>
      <c r="W76" s="5">
        <v>62</v>
      </c>
      <c r="X76" s="10">
        <f t="shared" si="11"/>
        <v>66.6</v>
      </c>
      <c r="Y76" s="5" t="s">
        <v>167</v>
      </c>
      <c r="Z76" s="5">
        <v>90</v>
      </c>
      <c r="AA76" s="5">
        <v>100</v>
      </c>
      <c r="AB76" s="5">
        <v>92</v>
      </c>
      <c r="AC76" s="5">
        <v>95</v>
      </c>
      <c r="AD76" s="5">
        <v>90</v>
      </c>
      <c r="AE76" s="10">
        <f t="shared" si="12"/>
        <v>93.4</v>
      </c>
      <c r="AF76" s="5" t="s">
        <v>167</v>
      </c>
      <c r="AG76" s="5">
        <v>68</v>
      </c>
      <c r="AH76" s="5">
        <v>80</v>
      </c>
      <c r="AI76" s="5">
        <v>82</v>
      </c>
      <c r="AJ76" s="5">
        <v>78</v>
      </c>
      <c r="AK76" s="5">
        <v>72</v>
      </c>
      <c r="AL76" s="10">
        <f t="shared" si="13"/>
        <v>76</v>
      </c>
    </row>
    <row r="77" spans="1:38">
      <c r="A77" t="s">
        <v>168</v>
      </c>
      <c r="B77" s="4">
        <v>88.8</v>
      </c>
      <c r="C77" s="4">
        <v>85.2</v>
      </c>
      <c r="D77" s="4">
        <v>86.2</v>
      </c>
      <c r="E77" s="4">
        <v>87.2</v>
      </c>
      <c r="F77" s="4">
        <v>94.4</v>
      </c>
      <c r="G77">
        <f t="shared" si="14"/>
        <v>88.36</v>
      </c>
      <c r="H77">
        <f t="shared" si="15"/>
        <v>9.2</v>
      </c>
      <c r="I77">
        <f t="shared" si="10"/>
        <v>1</v>
      </c>
      <c r="J77">
        <v>91.6</v>
      </c>
      <c r="K77" t="s">
        <v>168</v>
      </c>
      <c r="L77">
        <v>88</v>
      </c>
      <c r="M77">
        <v>85</v>
      </c>
      <c r="N77">
        <v>85</v>
      </c>
      <c r="O77">
        <v>86</v>
      </c>
      <c r="P77">
        <v>95</v>
      </c>
      <c r="Q77" s="10">
        <f t="shared" si="16"/>
        <v>87.8</v>
      </c>
      <c r="R77" t="s">
        <v>168</v>
      </c>
      <c r="S77">
        <v>85</v>
      </c>
      <c r="T77">
        <v>78</v>
      </c>
      <c r="U77">
        <v>82</v>
      </c>
      <c r="V77">
        <v>85</v>
      </c>
      <c r="W77">
        <v>92</v>
      </c>
      <c r="X77" s="10">
        <f t="shared" si="11"/>
        <v>84.4</v>
      </c>
      <c r="Y77" t="s">
        <v>168</v>
      </c>
      <c r="Z77">
        <v>95</v>
      </c>
      <c r="AA77">
        <v>95</v>
      </c>
      <c r="AB77">
        <v>95</v>
      </c>
      <c r="AC77">
        <v>95</v>
      </c>
      <c r="AD77">
        <v>95</v>
      </c>
      <c r="AE77" s="10">
        <f t="shared" si="12"/>
        <v>95</v>
      </c>
      <c r="AF77" t="s">
        <v>168</v>
      </c>
      <c r="AG77">
        <v>95</v>
      </c>
      <c r="AH77">
        <v>90</v>
      </c>
      <c r="AI77">
        <v>92</v>
      </c>
      <c r="AJ77">
        <v>90</v>
      </c>
      <c r="AK77">
        <v>95</v>
      </c>
      <c r="AL77" s="10">
        <f t="shared" si="13"/>
        <v>92.4</v>
      </c>
    </row>
    <row r="78" spans="1:38">
      <c r="A78" t="s">
        <v>169</v>
      </c>
      <c r="B78" s="4">
        <v>91.6</v>
      </c>
      <c r="C78" s="4">
        <v>81.4</v>
      </c>
      <c r="D78" s="4">
        <v>88</v>
      </c>
      <c r="E78" s="4">
        <v>82.4</v>
      </c>
      <c r="F78" s="4">
        <v>53.8</v>
      </c>
      <c r="G78">
        <f t="shared" si="14"/>
        <v>79.44</v>
      </c>
      <c r="H78">
        <f t="shared" si="15"/>
        <v>37.8</v>
      </c>
      <c r="I78">
        <f t="shared" si="10"/>
        <v>0</v>
      </c>
      <c r="J78">
        <v>87.6</v>
      </c>
      <c r="K78" t="s">
        <v>169</v>
      </c>
      <c r="L78">
        <v>95</v>
      </c>
      <c r="M78">
        <v>88</v>
      </c>
      <c r="N78">
        <v>90</v>
      </c>
      <c r="O78">
        <v>88</v>
      </c>
      <c r="P78">
        <v>38</v>
      </c>
      <c r="Q78" s="10">
        <f t="shared" si="16"/>
        <v>79.8</v>
      </c>
      <c r="R78" t="s">
        <v>169</v>
      </c>
      <c r="S78">
        <v>78</v>
      </c>
      <c r="T78">
        <v>50</v>
      </c>
      <c r="U78">
        <v>76</v>
      </c>
      <c r="V78">
        <v>55</v>
      </c>
      <c r="W78">
        <v>62</v>
      </c>
      <c r="X78" s="10">
        <f t="shared" si="11"/>
        <v>64.2</v>
      </c>
      <c r="Y78" t="s">
        <v>169</v>
      </c>
      <c r="Z78">
        <v>95</v>
      </c>
      <c r="AA78">
        <v>95</v>
      </c>
      <c r="AB78">
        <v>95</v>
      </c>
      <c r="AC78">
        <v>95</v>
      </c>
      <c r="AD78">
        <v>92</v>
      </c>
      <c r="AE78" s="10">
        <f t="shared" si="12"/>
        <v>94.4</v>
      </c>
      <c r="AF78" t="s">
        <v>169</v>
      </c>
      <c r="AG78">
        <v>95</v>
      </c>
      <c r="AH78">
        <v>90</v>
      </c>
      <c r="AI78">
        <v>92</v>
      </c>
      <c r="AJ78">
        <v>90</v>
      </c>
      <c r="AK78">
        <v>95</v>
      </c>
      <c r="AL78" s="10">
        <f t="shared" si="13"/>
        <v>92.4</v>
      </c>
    </row>
    <row r="79" spans="1:38">
      <c r="A79" t="s">
        <v>170</v>
      </c>
      <c r="B79" s="4">
        <v>88</v>
      </c>
      <c r="C79" s="4">
        <v>72.6</v>
      </c>
      <c r="D79" s="4">
        <v>85.6</v>
      </c>
      <c r="E79" s="4">
        <v>79.6</v>
      </c>
      <c r="F79" s="4">
        <v>87.8</v>
      </c>
      <c r="G79">
        <f t="shared" si="14"/>
        <v>82.72</v>
      </c>
      <c r="H79">
        <f t="shared" si="15"/>
        <v>15.4</v>
      </c>
      <c r="I79">
        <f t="shared" si="10"/>
        <v>1</v>
      </c>
      <c r="J79">
        <v>76.2</v>
      </c>
      <c r="K79" t="s">
        <v>170</v>
      </c>
      <c r="L79">
        <v>90</v>
      </c>
      <c r="M79">
        <v>75</v>
      </c>
      <c r="N79">
        <v>88</v>
      </c>
      <c r="O79">
        <v>78</v>
      </c>
      <c r="P79">
        <v>88</v>
      </c>
      <c r="Q79" s="10">
        <f t="shared" si="16"/>
        <v>83.8</v>
      </c>
      <c r="R79" t="s">
        <v>170</v>
      </c>
      <c r="S79">
        <v>75</v>
      </c>
      <c r="T79">
        <v>45</v>
      </c>
      <c r="U79">
        <v>70</v>
      </c>
      <c r="V79">
        <v>72</v>
      </c>
      <c r="W79">
        <v>80</v>
      </c>
      <c r="X79" s="10">
        <f t="shared" si="11"/>
        <v>68.4</v>
      </c>
      <c r="Y79" t="s">
        <v>170</v>
      </c>
      <c r="Z79">
        <v>95</v>
      </c>
      <c r="AA79">
        <v>95</v>
      </c>
      <c r="AB79">
        <v>95</v>
      </c>
      <c r="AC79">
        <v>95</v>
      </c>
      <c r="AD79">
        <v>95</v>
      </c>
      <c r="AE79" s="10">
        <f t="shared" si="12"/>
        <v>95</v>
      </c>
      <c r="AF79" t="s">
        <v>170</v>
      </c>
      <c r="AG79">
        <v>95</v>
      </c>
      <c r="AH79">
        <v>90</v>
      </c>
      <c r="AI79">
        <v>92</v>
      </c>
      <c r="AJ79">
        <v>88</v>
      </c>
      <c r="AK79">
        <v>95</v>
      </c>
      <c r="AL79" s="10">
        <f t="shared" si="13"/>
        <v>92</v>
      </c>
    </row>
    <row r="80" spans="1:38">
      <c r="A80" t="s">
        <v>171</v>
      </c>
      <c r="B80" s="4">
        <v>54</v>
      </c>
      <c r="C80" s="4">
        <v>34.2</v>
      </c>
      <c r="D80" s="4">
        <v>44.6</v>
      </c>
      <c r="E80" s="4">
        <v>33.2</v>
      </c>
      <c r="F80" s="4">
        <v>91.2</v>
      </c>
      <c r="G80">
        <f t="shared" si="14"/>
        <v>51.44</v>
      </c>
      <c r="H80">
        <f t="shared" si="15"/>
        <v>58</v>
      </c>
      <c r="I80">
        <f t="shared" si="10"/>
        <v>0</v>
      </c>
      <c r="J80">
        <v>28</v>
      </c>
      <c r="K80" t="s">
        <v>171</v>
      </c>
      <c r="L80">
        <v>35</v>
      </c>
      <c r="M80">
        <v>20</v>
      </c>
      <c r="N80">
        <v>30</v>
      </c>
      <c r="O80">
        <v>18</v>
      </c>
      <c r="P80">
        <v>92</v>
      </c>
      <c r="Q80" s="10">
        <f t="shared" si="16"/>
        <v>39</v>
      </c>
      <c r="R80" t="s">
        <v>171</v>
      </c>
      <c r="S80">
        <v>70</v>
      </c>
      <c r="T80">
        <v>45</v>
      </c>
      <c r="U80">
        <v>45</v>
      </c>
      <c r="V80">
        <v>35</v>
      </c>
      <c r="W80">
        <v>85</v>
      </c>
      <c r="X80" s="10">
        <f t="shared" si="11"/>
        <v>56</v>
      </c>
      <c r="Y80" t="s">
        <v>171</v>
      </c>
      <c r="Z80">
        <v>95</v>
      </c>
      <c r="AA80">
        <v>50</v>
      </c>
      <c r="AB80">
        <v>85</v>
      </c>
      <c r="AC80">
        <v>75</v>
      </c>
      <c r="AD80">
        <v>95</v>
      </c>
      <c r="AE80" s="10">
        <f t="shared" si="12"/>
        <v>80</v>
      </c>
      <c r="AF80" t="s">
        <v>171</v>
      </c>
      <c r="AG80">
        <v>95</v>
      </c>
      <c r="AH80">
        <v>90</v>
      </c>
      <c r="AI80">
        <v>92</v>
      </c>
      <c r="AJ80">
        <v>80</v>
      </c>
      <c r="AK80">
        <v>95</v>
      </c>
      <c r="AL80" s="10">
        <f t="shared" si="13"/>
        <v>90.4</v>
      </c>
    </row>
    <row r="81" spans="1:38">
      <c r="A81" t="s">
        <v>172</v>
      </c>
      <c r="B81" s="4">
        <v>93</v>
      </c>
      <c r="C81" s="4">
        <v>90.2</v>
      </c>
      <c r="D81" s="4">
        <v>90.4</v>
      </c>
      <c r="E81" s="4">
        <v>91.4</v>
      </c>
      <c r="F81" s="4">
        <v>91.2</v>
      </c>
      <c r="G81">
        <f t="shared" si="14"/>
        <v>91.24</v>
      </c>
      <c r="H81">
        <f t="shared" si="15"/>
        <v>2.8</v>
      </c>
      <c r="I81">
        <f t="shared" si="10"/>
        <v>1</v>
      </c>
      <c r="J81">
        <v>93.2</v>
      </c>
      <c r="K81" t="s">
        <v>172</v>
      </c>
      <c r="L81">
        <v>95</v>
      </c>
      <c r="M81">
        <v>92</v>
      </c>
      <c r="N81">
        <v>92</v>
      </c>
      <c r="O81">
        <v>92</v>
      </c>
      <c r="P81">
        <v>92</v>
      </c>
      <c r="Q81" s="10">
        <f t="shared" si="16"/>
        <v>92.6</v>
      </c>
      <c r="R81" t="s">
        <v>172</v>
      </c>
      <c r="S81">
        <v>85</v>
      </c>
      <c r="T81">
        <v>82</v>
      </c>
      <c r="U81">
        <v>82</v>
      </c>
      <c r="V81">
        <v>88</v>
      </c>
      <c r="W81">
        <v>85</v>
      </c>
      <c r="X81" s="10">
        <f t="shared" si="11"/>
        <v>84.4</v>
      </c>
      <c r="Y81" t="s">
        <v>172</v>
      </c>
      <c r="Z81">
        <v>95</v>
      </c>
      <c r="AA81">
        <v>95</v>
      </c>
      <c r="AB81">
        <v>95</v>
      </c>
      <c r="AC81">
        <v>95</v>
      </c>
      <c r="AD81">
        <v>95</v>
      </c>
      <c r="AE81" s="10">
        <f t="shared" si="12"/>
        <v>95</v>
      </c>
      <c r="AF81" t="s">
        <v>172</v>
      </c>
      <c r="AG81">
        <v>95</v>
      </c>
      <c r="AH81">
        <v>90</v>
      </c>
      <c r="AI81">
        <v>92</v>
      </c>
      <c r="AJ81">
        <v>90</v>
      </c>
      <c r="AK81">
        <v>95</v>
      </c>
      <c r="AL81" s="10">
        <f t="shared" si="13"/>
        <v>92.4</v>
      </c>
    </row>
    <row r="82" spans="1:38">
      <c r="A82" t="s">
        <v>173</v>
      </c>
      <c r="B82" s="4">
        <v>92.4</v>
      </c>
      <c r="C82" s="4">
        <v>87</v>
      </c>
      <c r="D82" s="4">
        <v>90.6</v>
      </c>
      <c r="E82" s="4">
        <v>89.6</v>
      </c>
      <c r="F82" s="4">
        <v>93</v>
      </c>
      <c r="G82">
        <f t="shared" si="14"/>
        <v>90.52</v>
      </c>
      <c r="H82">
        <f t="shared" si="15"/>
        <v>6</v>
      </c>
      <c r="I82">
        <f t="shared" si="10"/>
        <v>1</v>
      </c>
      <c r="J82">
        <v>91.2</v>
      </c>
      <c r="K82" t="s">
        <v>173</v>
      </c>
      <c r="L82">
        <v>95</v>
      </c>
      <c r="M82">
        <v>90</v>
      </c>
      <c r="N82">
        <v>92</v>
      </c>
      <c r="O82">
        <v>90</v>
      </c>
      <c r="P82">
        <v>94</v>
      </c>
      <c r="Q82" s="10">
        <f t="shared" si="16"/>
        <v>92.2</v>
      </c>
      <c r="R82" t="s">
        <v>173</v>
      </c>
      <c r="S82">
        <v>82</v>
      </c>
      <c r="T82">
        <v>72</v>
      </c>
      <c r="U82">
        <v>83</v>
      </c>
      <c r="V82">
        <v>85</v>
      </c>
      <c r="W82">
        <v>88</v>
      </c>
      <c r="X82" s="10">
        <f t="shared" si="11"/>
        <v>82</v>
      </c>
      <c r="Y82" t="s">
        <v>173</v>
      </c>
      <c r="Z82">
        <v>95</v>
      </c>
      <c r="AA82">
        <v>95</v>
      </c>
      <c r="AB82">
        <v>95</v>
      </c>
      <c r="AC82">
        <v>95</v>
      </c>
      <c r="AD82">
        <v>95</v>
      </c>
      <c r="AE82" s="10">
        <f t="shared" si="12"/>
        <v>95</v>
      </c>
      <c r="AF82" t="s">
        <v>173</v>
      </c>
      <c r="AG82">
        <v>95</v>
      </c>
      <c r="AH82">
        <v>90</v>
      </c>
      <c r="AI82">
        <v>92</v>
      </c>
      <c r="AJ82">
        <v>90</v>
      </c>
      <c r="AK82">
        <v>95</v>
      </c>
      <c r="AL82" s="10">
        <f t="shared" si="13"/>
        <v>92.4</v>
      </c>
    </row>
    <row r="83" spans="1:38">
      <c r="A83" t="s">
        <v>174</v>
      </c>
      <c r="B83" s="4">
        <v>93.6</v>
      </c>
      <c r="C83" s="4">
        <v>85.2</v>
      </c>
      <c r="D83" s="4">
        <v>91.4</v>
      </c>
      <c r="E83" s="4">
        <v>87</v>
      </c>
      <c r="F83" s="4">
        <v>93</v>
      </c>
      <c r="G83">
        <f t="shared" si="14"/>
        <v>90.04</v>
      </c>
      <c r="H83">
        <f t="shared" si="15"/>
        <v>8.39999999999999</v>
      </c>
      <c r="I83">
        <f t="shared" si="10"/>
        <v>1</v>
      </c>
      <c r="J83">
        <v>94</v>
      </c>
      <c r="K83" t="s">
        <v>174</v>
      </c>
      <c r="L83">
        <v>95</v>
      </c>
      <c r="M83">
        <v>85</v>
      </c>
      <c r="N83">
        <v>93</v>
      </c>
      <c r="O83">
        <v>88</v>
      </c>
      <c r="P83">
        <v>94</v>
      </c>
      <c r="Q83" s="10">
        <f t="shared" si="16"/>
        <v>91</v>
      </c>
      <c r="R83" t="s">
        <v>174</v>
      </c>
      <c r="S83">
        <v>88</v>
      </c>
      <c r="T83">
        <v>78</v>
      </c>
      <c r="U83">
        <v>84</v>
      </c>
      <c r="V83">
        <v>78</v>
      </c>
      <c r="W83">
        <v>88</v>
      </c>
      <c r="X83" s="10">
        <f t="shared" si="11"/>
        <v>83.2</v>
      </c>
      <c r="Y83" t="s">
        <v>174</v>
      </c>
      <c r="Z83">
        <v>95</v>
      </c>
      <c r="AA83">
        <v>95</v>
      </c>
      <c r="AB83">
        <v>95</v>
      </c>
      <c r="AC83">
        <v>95</v>
      </c>
      <c r="AD83">
        <v>95</v>
      </c>
      <c r="AE83" s="10">
        <f t="shared" si="12"/>
        <v>95</v>
      </c>
      <c r="AF83" t="s">
        <v>174</v>
      </c>
      <c r="AG83">
        <v>95</v>
      </c>
      <c r="AH83">
        <v>90</v>
      </c>
      <c r="AI83">
        <v>92</v>
      </c>
      <c r="AJ83">
        <v>90</v>
      </c>
      <c r="AK83">
        <v>95</v>
      </c>
      <c r="AL83" s="10">
        <f t="shared" si="13"/>
        <v>92.4</v>
      </c>
    </row>
    <row r="84" spans="1:38">
      <c r="A84" t="s">
        <v>175</v>
      </c>
      <c r="B84" s="4">
        <v>93</v>
      </c>
      <c r="C84" s="4">
        <v>90.2</v>
      </c>
      <c r="D84" s="4">
        <v>90.4</v>
      </c>
      <c r="E84" s="4">
        <v>89.6</v>
      </c>
      <c r="F84" s="4">
        <v>91.2</v>
      </c>
      <c r="G84">
        <f t="shared" si="14"/>
        <v>90.88</v>
      </c>
      <c r="H84">
        <f t="shared" si="15"/>
        <v>3.40000000000001</v>
      </c>
      <c r="I84">
        <f t="shared" si="10"/>
        <v>1</v>
      </c>
      <c r="J84">
        <v>93.2</v>
      </c>
      <c r="K84" t="s">
        <v>175</v>
      </c>
      <c r="L84">
        <v>95</v>
      </c>
      <c r="M84">
        <v>92</v>
      </c>
      <c r="N84">
        <v>92</v>
      </c>
      <c r="O84">
        <v>90</v>
      </c>
      <c r="P84">
        <v>92</v>
      </c>
      <c r="Q84" s="10">
        <f t="shared" si="16"/>
        <v>92.2</v>
      </c>
      <c r="R84" t="s">
        <v>175</v>
      </c>
      <c r="S84">
        <v>85</v>
      </c>
      <c r="T84">
        <v>82</v>
      </c>
      <c r="U84">
        <v>82</v>
      </c>
      <c r="V84">
        <v>85</v>
      </c>
      <c r="W84">
        <v>85</v>
      </c>
      <c r="X84" s="10">
        <f t="shared" si="11"/>
        <v>83.8</v>
      </c>
      <c r="Y84" t="s">
        <v>175</v>
      </c>
      <c r="Z84">
        <v>95</v>
      </c>
      <c r="AA84">
        <v>95</v>
      </c>
      <c r="AB84">
        <v>95</v>
      </c>
      <c r="AC84">
        <v>95</v>
      </c>
      <c r="AD84">
        <v>95</v>
      </c>
      <c r="AE84" s="10">
        <f t="shared" si="12"/>
        <v>95</v>
      </c>
      <c r="AF84" t="s">
        <v>175</v>
      </c>
      <c r="AG84">
        <v>95</v>
      </c>
      <c r="AH84">
        <v>90</v>
      </c>
      <c r="AI84">
        <v>92</v>
      </c>
      <c r="AJ84">
        <v>90</v>
      </c>
      <c r="AK84">
        <v>95</v>
      </c>
      <c r="AL84" s="10">
        <f t="shared" si="13"/>
        <v>92.4</v>
      </c>
    </row>
    <row r="85" spans="1:38">
      <c r="A85" t="s">
        <v>176</v>
      </c>
      <c r="B85" s="4">
        <v>93.6</v>
      </c>
      <c r="C85" s="4">
        <v>89.4</v>
      </c>
      <c r="D85" s="4">
        <v>89.6</v>
      </c>
      <c r="E85" s="4">
        <v>87.8</v>
      </c>
      <c r="F85" s="4">
        <v>93.4</v>
      </c>
      <c r="G85">
        <f t="shared" si="14"/>
        <v>90.76</v>
      </c>
      <c r="H85">
        <f t="shared" si="15"/>
        <v>5.8</v>
      </c>
      <c r="I85">
        <f t="shared" si="10"/>
        <v>1</v>
      </c>
      <c r="J85">
        <v>88.6</v>
      </c>
      <c r="K85" t="s">
        <v>176</v>
      </c>
      <c r="L85">
        <v>95</v>
      </c>
      <c r="M85">
        <v>92</v>
      </c>
      <c r="N85">
        <v>92</v>
      </c>
      <c r="O85">
        <v>88</v>
      </c>
      <c r="P85">
        <v>94</v>
      </c>
      <c r="Q85" s="10">
        <f t="shared" si="16"/>
        <v>92.2</v>
      </c>
      <c r="R85" t="s">
        <v>176</v>
      </c>
      <c r="S85">
        <v>88</v>
      </c>
      <c r="T85">
        <v>78</v>
      </c>
      <c r="U85">
        <v>78</v>
      </c>
      <c r="V85">
        <v>82</v>
      </c>
      <c r="W85">
        <v>90</v>
      </c>
      <c r="X85" s="10">
        <f t="shared" si="11"/>
        <v>83.2</v>
      </c>
      <c r="Y85" t="s">
        <v>176</v>
      </c>
      <c r="Z85">
        <v>95</v>
      </c>
      <c r="AA85">
        <v>95</v>
      </c>
      <c r="AB85">
        <v>95</v>
      </c>
      <c r="AC85">
        <v>95</v>
      </c>
      <c r="AD85">
        <v>95</v>
      </c>
      <c r="AE85" s="10">
        <f t="shared" si="12"/>
        <v>95</v>
      </c>
      <c r="AF85" t="s">
        <v>176</v>
      </c>
      <c r="AG85">
        <v>95</v>
      </c>
      <c r="AH85">
        <v>90</v>
      </c>
      <c r="AI85">
        <v>92</v>
      </c>
      <c r="AJ85">
        <v>90</v>
      </c>
      <c r="AK85">
        <v>95</v>
      </c>
      <c r="AL85" s="10">
        <f t="shared" si="13"/>
        <v>92.4</v>
      </c>
    </row>
    <row r="86" spans="1:38">
      <c r="A86" t="s">
        <v>177</v>
      </c>
      <c r="B86" s="4">
        <v>65.6</v>
      </c>
      <c r="C86" s="4">
        <v>44.6</v>
      </c>
      <c r="D86" s="4">
        <v>58</v>
      </c>
      <c r="E86" s="4">
        <v>28.8</v>
      </c>
      <c r="F86" s="4">
        <v>54.2</v>
      </c>
      <c r="G86">
        <f t="shared" si="14"/>
        <v>50.24</v>
      </c>
      <c r="H86">
        <f t="shared" si="15"/>
        <v>36.8</v>
      </c>
      <c r="I86">
        <f t="shared" si="10"/>
        <v>0</v>
      </c>
      <c r="J86">
        <v>45.2</v>
      </c>
      <c r="K86" t="s">
        <v>177</v>
      </c>
      <c r="L86">
        <v>55</v>
      </c>
      <c r="M86">
        <v>30</v>
      </c>
      <c r="N86">
        <v>48</v>
      </c>
      <c r="O86">
        <v>18</v>
      </c>
      <c r="P86">
        <v>40</v>
      </c>
      <c r="Q86" s="10">
        <f t="shared" si="16"/>
        <v>38.2</v>
      </c>
      <c r="R86" t="s">
        <v>177</v>
      </c>
      <c r="S86">
        <v>68</v>
      </c>
      <c r="T86">
        <v>40</v>
      </c>
      <c r="U86">
        <v>55</v>
      </c>
      <c r="V86">
        <v>25</v>
      </c>
      <c r="W86">
        <v>58</v>
      </c>
      <c r="X86" s="10">
        <f t="shared" si="11"/>
        <v>49.2</v>
      </c>
      <c r="Y86" t="s">
        <v>177</v>
      </c>
      <c r="Z86">
        <v>95</v>
      </c>
      <c r="AA86">
        <v>95</v>
      </c>
      <c r="AB86">
        <v>90</v>
      </c>
      <c r="AC86">
        <v>55</v>
      </c>
      <c r="AD86">
        <v>92</v>
      </c>
      <c r="AE86" s="10">
        <f t="shared" si="12"/>
        <v>85.4</v>
      </c>
      <c r="AF86" t="s">
        <v>177</v>
      </c>
      <c r="AG86">
        <v>95</v>
      </c>
      <c r="AH86">
        <v>90</v>
      </c>
      <c r="AI86">
        <v>92</v>
      </c>
      <c r="AJ86">
        <v>80</v>
      </c>
      <c r="AK86">
        <v>95</v>
      </c>
      <c r="AL86" s="10">
        <f t="shared" si="13"/>
        <v>90.4</v>
      </c>
    </row>
    <row r="87" spans="1:38">
      <c r="A87" t="s">
        <v>178</v>
      </c>
      <c r="B87" s="4">
        <v>93</v>
      </c>
      <c r="C87" s="4">
        <v>89.8</v>
      </c>
      <c r="D87" s="4">
        <v>91.4</v>
      </c>
      <c r="E87" s="4">
        <v>90.2</v>
      </c>
      <c r="F87" s="4">
        <v>91.2</v>
      </c>
      <c r="G87">
        <f t="shared" si="14"/>
        <v>91.12</v>
      </c>
      <c r="H87">
        <f t="shared" si="15"/>
        <v>3.2</v>
      </c>
      <c r="I87">
        <f t="shared" si="10"/>
        <v>1</v>
      </c>
      <c r="J87">
        <v>92.6</v>
      </c>
      <c r="K87" t="s">
        <v>178</v>
      </c>
      <c r="L87">
        <v>95</v>
      </c>
      <c r="M87">
        <v>92</v>
      </c>
      <c r="N87">
        <v>93</v>
      </c>
      <c r="O87">
        <v>90</v>
      </c>
      <c r="P87">
        <v>92</v>
      </c>
      <c r="Q87" s="10">
        <f t="shared" si="16"/>
        <v>92.4</v>
      </c>
      <c r="R87" t="s">
        <v>178</v>
      </c>
      <c r="S87">
        <v>85</v>
      </c>
      <c r="T87">
        <v>80</v>
      </c>
      <c r="U87">
        <v>84</v>
      </c>
      <c r="V87">
        <v>88</v>
      </c>
      <c r="W87">
        <v>85</v>
      </c>
      <c r="X87" s="10">
        <f t="shared" si="11"/>
        <v>84.4</v>
      </c>
      <c r="Y87" t="s">
        <v>178</v>
      </c>
      <c r="Z87">
        <v>95</v>
      </c>
      <c r="AA87">
        <v>95</v>
      </c>
      <c r="AB87">
        <v>95</v>
      </c>
      <c r="AC87">
        <v>95</v>
      </c>
      <c r="AD87">
        <v>95</v>
      </c>
      <c r="AE87" s="10">
        <f t="shared" si="12"/>
        <v>95</v>
      </c>
      <c r="AF87" t="s">
        <v>178</v>
      </c>
      <c r="AG87">
        <v>95</v>
      </c>
      <c r="AH87">
        <v>90</v>
      </c>
      <c r="AI87">
        <v>92</v>
      </c>
      <c r="AJ87">
        <v>90</v>
      </c>
      <c r="AK87">
        <v>95</v>
      </c>
      <c r="AL87" s="10">
        <f t="shared" si="13"/>
        <v>92.4</v>
      </c>
    </row>
    <row r="88" spans="1:38">
      <c r="A88" t="s">
        <v>179</v>
      </c>
      <c r="B88" s="4">
        <v>94</v>
      </c>
      <c r="C88" s="4">
        <v>92.6</v>
      </c>
      <c r="D88" s="4">
        <v>91</v>
      </c>
      <c r="E88" s="4">
        <v>89.6</v>
      </c>
      <c r="F88" s="4">
        <v>93.4</v>
      </c>
      <c r="G88">
        <f t="shared" si="14"/>
        <v>92.12</v>
      </c>
      <c r="H88">
        <f t="shared" si="15"/>
        <v>4.40000000000001</v>
      </c>
      <c r="I88">
        <f t="shared" si="10"/>
        <v>1</v>
      </c>
      <c r="J88">
        <v>93.2</v>
      </c>
      <c r="K88" t="s">
        <v>179</v>
      </c>
      <c r="L88">
        <v>95</v>
      </c>
      <c r="M88">
        <v>95</v>
      </c>
      <c r="N88">
        <v>92</v>
      </c>
      <c r="O88">
        <v>90</v>
      </c>
      <c r="P88">
        <v>94</v>
      </c>
      <c r="Q88" s="10">
        <f t="shared" si="16"/>
        <v>93.2</v>
      </c>
      <c r="R88" t="s">
        <v>179</v>
      </c>
      <c r="S88">
        <v>90</v>
      </c>
      <c r="T88">
        <v>85</v>
      </c>
      <c r="U88">
        <v>85</v>
      </c>
      <c r="V88">
        <v>85</v>
      </c>
      <c r="W88">
        <v>90</v>
      </c>
      <c r="X88" s="10">
        <f t="shared" si="11"/>
        <v>87</v>
      </c>
      <c r="Y88" t="s">
        <v>179</v>
      </c>
      <c r="Z88">
        <v>95</v>
      </c>
      <c r="AA88">
        <v>95</v>
      </c>
      <c r="AB88">
        <v>95</v>
      </c>
      <c r="AC88">
        <v>95</v>
      </c>
      <c r="AD88">
        <v>95</v>
      </c>
      <c r="AE88" s="10">
        <f t="shared" si="12"/>
        <v>95</v>
      </c>
      <c r="AF88" t="s">
        <v>179</v>
      </c>
      <c r="AG88">
        <v>95</v>
      </c>
      <c r="AH88">
        <v>90</v>
      </c>
      <c r="AI88">
        <v>92</v>
      </c>
      <c r="AJ88">
        <v>90</v>
      </c>
      <c r="AK88">
        <v>95</v>
      </c>
      <c r="AL88" s="10">
        <f t="shared" si="13"/>
        <v>92.4</v>
      </c>
    </row>
    <row r="89" spans="1:38">
      <c r="A89" t="s">
        <v>180</v>
      </c>
      <c r="B89" s="4">
        <v>93</v>
      </c>
      <c r="C89" s="4">
        <v>89.4</v>
      </c>
      <c r="D89" s="4">
        <v>91.6</v>
      </c>
      <c r="E89" s="4">
        <v>91.4</v>
      </c>
      <c r="F89" s="4">
        <v>91.8</v>
      </c>
      <c r="G89">
        <f t="shared" si="14"/>
        <v>91.44</v>
      </c>
      <c r="H89">
        <f t="shared" si="15"/>
        <v>3.59999999999999</v>
      </c>
      <c r="I89">
        <f t="shared" si="10"/>
        <v>1</v>
      </c>
      <c r="J89">
        <v>92.6</v>
      </c>
      <c r="K89" t="s">
        <v>180</v>
      </c>
      <c r="L89">
        <v>95</v>
      </c>
      <c r="M89">
        <v>92</v>
      </c>
      <c r="N89">
        <v>93</v>
      </c>
      <c r="O89">
        <v>92</v>
      </c>
      <c r="P89">
        <v>92</v>
      </c>
      <c r="Q89" s="10">
        <f t="shared" si="16"/>
        <v>92.8</v>
      </c>
      <c r="R89" t="s">
        <v>180</v>
      </c>
      <c r="S89">
        <v>85</v>
      </c>
      <c r="T89">
        <v>78</v>
      </c>
      <c r="U89">
        <v>85</v>
      </c>
      <c r="V89">
        <v>88</v>
      </c>
      <c r="W89">
        <v>88</v>
      </c>
      <c r="X89" s="10">
        <f t="shared" si="11"/>
        <v>84.8</v>
      </c>
      <c r="Y89" t="s">
        <v>180</v>
      </c>
      <c r="Z89">
        <v>95</v>
      </c>
      <c r="AA89">
        <v>95</v>
      </c>
      <c r="AB89">
        <v>95</v>
      </c>
      <c r="AC89">
        <v>95</v>
      </c>
      <c r="AD89">
        <v>95</v>
      </c>
      <c r="AE89" s="10">
        <f t="shared" si="12"/>
        <v>95</v>
      </c>
      <c r="AF89" t="s">
        <v>180</v>
      </c>
      <c r="AG89">
        <v>95</v>
      </c>
      <c r="AH89">
        <v>90</v>
      </c>
      <c r="AI89">
        <v>92</v>
      </c>
      <c r="AJ89">
        <v>90</v>
      </c>
      <c r="AK89">
        <v>95</v>
      </c>
      <c r="AL89" s="10">
        <f t="shared" si="13"/>
        <v>92.4</v>
      </c>
    </row>
    <row r="90" spans="1:38">
      <c r="A90" t="s">
        <v>181</v>
      </c>
      <c r="B90" s="4">
        <v>93</v>
      </c>
      <c r="C90" s="4">
        <v>87.4</v>
      </c>
      <c r="D90" s="4">
        <v>89.4</v>
      </c>
      <c r="E90" s="4">
        <v>86.6</v>
      </c>
      <c r="F90" s="4">
        <v>87.6</v>
      </c>
      <c r="G90">
        <f t="shared" si="14"/>
        <v>88.8</v>
      </c>
      <c r="H90">
        <f t="shared" si="15"/>
        <v>6.40000000000001</v>
      </c>
      <c r="I90">
        <f t="shared" si="10"/>
        <v>1</v>
      </c>
      <c r="J90">
        <v>80.4</v>
      </c>
      <c r="K90" t="s">
        <v>181</v>
      </c>
      <c r="L90">
        <v>95</v>
      </c>
      <c r="M90">
        <v>90</v>
      </c>
      <c r="N90">
        <v>92</v>
      </c>
      <c r="O90">
        <v>88</v>
      </c>
      <c r="P90">
        <v>88</v>
      </c>
      <c r="Q90" s="10">
        <f t="shared" si="16"/>
        <v>90.6</v>
      </c>
      <c r="R90" t="s">
        <v>181</v>
      </c>
      <c r="S90">
        <v>85</v>
      </c>
      <c r="T90">
        <v>80</v>
      </c>
      <c r="U90">
        <v>82</v>
      </c>
      <c r="V90">
        <v>82</v>
      </c>
      <c r="W90">
        <v>82</v>
      </c>
      <c r="X90" s="10">
        <f t="shared" si="11"/>
        <v>82.2</v>
      </c>
      <c r="Y90" t="s">
        <v>181</v>
      </c>
      <c r="Z90">
        <v>95</v>
      </c>
      <c r="AA90">
        <v>85</v>
      </c>
      <c r="AB90">
        <v>88</v>
      </c>
      <c r="AC90">
        <v>85</v>
      </c>
      <c r="AD90">
        <v>90</v>
      </c>
      <c r="AE90" s="10">
        <f t="shared" si="12"/>
        <v>88.6</v>
      </c>
      <c r="AF90" t="s">
        <v>181</v>
      </c>
      <c r="AG90">
        <v>95</v>
      </c>
      <c r="AH90">
        <v>90</v>
      </c>
      <c r="AI90">
        <v>90</v>
      </c>
      <c r="AJ90">
        <v>90</v>
      </c>
      <c r="AK90">
        <v>95</v>
      </c>
      <c r="AL90" s="10">
        <f t="shared" si="13"/>
        <v>92</v>
      </c>
    </row>
    <row r="91" spans="1:38">
      <c r="A91" t="s">
        <v>182</v>
      </c>
      <c r="B91" s="4">
        <v>89.2</v>
      </c>
      <c r="C91" s="4">
        <v>83.4</v>
      </c>
      <c r="D91" s="4">
        <v>89.6</v>
      </c>
      <c r="E91" s="4">
        <v>89.6</v>
      </c>
      <c r="F91" s="4">
        <v>88.6</v>
      </c>
      <c r="G91">
        <f t="shared" si="14"/>
        <v>88.08</v>
      </c>
      <c r="H91">
        <f t="shared" si="15"/>
        <v>6.19999999999999</v>
      </c>
      <c r="I91">
        <f t="shared" si="10"/>
        <v>1</v>
      </c>
      <c r="J91">
        <v>76.2</v>
      </c>
      <c r="K91" t="s">
        <v>182</v>
      </c>
      <c r="L91">
        <v>93</v>
      </c>
      <c r="M91">
        <v>88</v>
      </c>
      <c r="N91">
        <v>92</v>
      </c>
      <c r="O91">
        <v>90</v>
      </c>
      <c r="P91">
        <v>90</v>
      </c>
      <c r="Q91" s="10">
        <f t="shared" si="16"/>
        <v>90.6</v>
      </c>
      <c r="R91" t="s">
        <v>182</v>
      </c>
      <c r="S91">
        <v>72</v>
      </c>
      <c r="T91">
        <v>60</v>
      </c>
      <c r="U91">
        <v>78</v>
      </c>
      <c r="V91">
        <v>85</v>
      </c>
      <c r="W91">
        <v>78</v>
      </c>
      <c r="X91" s="10">
        <f t="shared" si="11"/>
        <v>74.6</v>
      </c>
      <c r="Y91" t="s">
        <v>182</v>
      </c>
      <c r="Z91">
        <v>95</v>
      </c>
      <c r="AA91">
        <v>95</v>
      </c>
      <c r="AB91">
        <v>95</v>
      </c>
      <c r="AC91">
        <v>95</v>
      </c>
      <c r="AD91">
        <v>95</v>
      </c>
      <c r="AE91" s="10">
        <f t="shared" si="12"/>
        <v>95</v>
      </c>
      <c r="AF91" t="s">
        <v>182</v>
      </c>
      <c r="AG91">
        <v>95</v>
      </c>
      <c r="AH91">
        <v>90</v>
      </c>
      <c r="AI91">
        <v>92</v>
      </c>
      <c r="AJ91">
        <v>90</v>
      </c>
      <c r="AK91">
        <v>95</v>
      </c>
      <c r="AL91" s="10">
        <f t="shared" si="13"/>
        <v>92.4</v>
      </c>
    </row>
    <row r="92" spans="1:38">
      <c r="A92" t="s">
        <v>183</v>
      </c>
      <c r="B92" s="4">
        <v>90.4</v>
      </c>
      <c r="C92" s="4">
        <v>80.6</v>
      </c>
      <c r="D92" s="4">
        <v>87.2</v>
      </c>
      <c r="E92" s="4">
        <v>77.6</v>
      </c>
      <c r="F92" s="4">
        <v>89</v>
      </c>
      <c r="G92">
        <f t="shared" si="14"/>
        <v>84.96</v>
      </c>
      <c r="H92">
        <f t="shared" si="15"/>
        <v>12.8</v>
      </c>
      <c r="I92">
        <f t="shared" si="10"/>
        <v>1</v>
      </c>
      <c r="J92">
        <v>81.6</v>
      </c>
      <c r="K92" t="s">
        <v>183</v>
      </c>
      <c r="L92">
        <v>93</v>
      </c>
      <c r="M92">
        <v>85</v>
      </c>
      <c r="N92">
        <v>88</v>
      </c>
      <c r="O92">
        <v>75</v>
      </c>
      <c r="P92">
        <v>90</v>
      </c>
      <c r="Q92" s="10">
        <f t="shared" si="16"/>
        <v>86.2</v>
      </c>
      <c r="R92" t="s">
        <v>183</v>
      </c>
      <c r="S92">
        <v>78</v>
      </c>
      <c r="T92">
        <v>55</v>
      </c>
      <c r="U92">
        <v>78</v>
      </c>
      <c r="V92">
        <v>70</v>
      </c>
      <c r="W92">
        <v>80</v>
      </c>
      <c r="X92" s="10">
        <f t="shared" si="11"/>
        <v>72.2</v>
      </c>
      <c r="Y92" t="s">
        <v>183</v>
      </c>
      <c r="Z92">
        <v>95</v>
      </c>
      <c r="AA92">
        <v>95</v>
      </c>
      <c r="AB92">
        <v>95</v>
      </c>
      <c r="AC92">
        <v>95</v>
      </c>
      <c r="AD92">
        <v>95</v>
      </c>
      <c r="AE92" s="10">
        <f t="shared" si="12"/>
        <v>95</v>
      </c>
      <c r="AF92" t="s">
        <v>183</v>
      </c>
      <c r="AG92">
        <v>95</v>
      </c>
      <c r="AH92">
        <v>90</v>
      </c>
      <c r="AI92">
        <v>92</v>
      </c>
      <c r="AJ92">
        <v>90</v>
      </c>
      <c r="AK92">
        <v>95</v>
      </c>
      <c r="AL92" s="10">
        <f t="shared" si="13"/>
        <v>92.4</v>
      </c>
    </row>
    <row r="93" spans="1:38">
      <c r="A93" t="s">
        <v>184</v>
      </c>
      <c r="B93" s="4">
        <v>86.8</v>
      </c>
      <c r="C93" s="4">
        <v>77.8</v>
      </c>
      <c r="D93" s="4">
        <v>87.2</v>
      </c>
      <c r="E93" s="4">
        <v>73.6</v>
      </c>
      <c r="F93" s="4">
        <v>89</v>
      </c>
      <c r="G93">
        <f t="shared" si="14"/>
        <v>82.88</v>
      </c>
      <c r="H93">
        <f t="shared" si="15"/>
        <v>15.4</v>
      </c>
      <c r="I93">
        <f t="shared" si="10"/>
        <v>1</v>
      </c>
      <c r="J93">
        <v>76.6</v>
      </c>
      <c r="K93" t="s">
        <v>184</v>
      </c>
      <c r="L93">
        <v>88</v>
      </c>
      <c r="M93">
        <v>82</v>
      </c>
      <c r="N93">
        <v>90</v>
      </c>
      <c r="O93">
        <v>70</v>
      </c>
      <c r="P93">
        <v>90</v>
      </c>
      <c r="Q93" s="10">
        <f t="shared" si="16"/>
        <v>84</v>
      </c>
      <c r="R93" t="s">
        <v>184</v>
      </c>
      <c r="S93">
        <v>75</v>
      </c>
      <c r="T93">
        <v>50</v>
      </c>
      <c r="U93">
        <v>72</v>
      </c>
      <c r="V93">
        <v>65</v>
      </c>
      <c r="W93">
        <v>80</v>
      </c>
      <c r="X93" s="10">
        <f t="shared" si="11"/>
        <v>68.4</v>
      </c>
      <c r="Y93" t="s">
        <v>184</v>
      </c>
      <c r="Z93">
        <v>95</v>
      </c>
      <c r="AA93">
        <v>95</v>
      </c>
      <c r="AB93">
        <v>95</v>
      </c>
      <c r="AC93">
        <v>95</v>
      </c>
      <c r="AD93">
        <v>95</v>
      </c>
      <c r="AE93" s="10">
        <f t="shared" si="12"/>
        <v>95</v>
      </c>
      <c r="AF93" t="s">
        <v>184</v>
      </c>
      <c r="AG93">
        <v>95</v>
      </c>
      <c r="AH93">
        <v>90</v>
      </c>
      <c r="AI93">
        <v>92</v>
      </c>
      <c r="AJ93">
        <v>90</v>
      </c>
      <c r="AK93">
        <v>95</v>
      </c>
      <c r="AL93" s="10">
        <f t="shared" si="13"/>
        <v>92.4</v>
      </c>
    </row>
    <row r="94" spans="1:38">
      <c r="A94" t="s">
        <v>185</v>
      </c>
      <c r="B94" s="4">
        <v>93.6</v>
      </c>
      <c r="C94" s="4">
        <v>91.2</v>
      </c>
      <c r="D94" s="4">
        <v>92.2</v>
      </c>
      <c r="E94" s="4">
        <v>91.8</v>
      </c>
      <c r="F94" s="4">
        <v>93.4</v>
      </c>
      <c r="G94">
        <f t="shared" si="14"/>
        <v>92.44</v>
      </c>
      <c r="H94">
        <f t="shared" si="15"/>
        <v>2.39999999999999</v>
      </c>
      <c r="I94">
        <f t="shared" si="10"/>
        <v>1</v>
      </c>
      <c r="J94">
        <v>92.6</v>
      </c>
      <c r="K94" t="s">
        <v>185</v>
      </c>
      <c r="L94">
        <v>95</v>
      </c>
      <c r="M94">
        <v>95</v>
      </c>
      <c r="N94">
        <v>94</v>
      </c>
      <c r="O94">
        <v>92</v>
      </c>
      <c r="P94">
        <v>94</v>
      </c>
      <c r="Q94" s="10">
        <f t="shared" si="16"/>
        <v>94</v>
      </c>
      <c r="R94" t="s">
        <v>185</v>
      </c>
      <c r="S94">
        <v>88</v>
      </c>
      <c r="T94">
        <v>78</v>
      </c>
      <c r="U94">
        <v>85</v>
      </c>
      <c r="V94">
        <v>90</v>
      </c>
      <c r="W94">
        <v>90</v>
      </c>
      <c r="X94" s="10">
        <f t="shared" si="11"/>
        <v>86.2</v>
      </c>
      <c r="Y94" t="s">
        <v>185</v>
      </c>
      <c r="Z94">
        <v>95</v>
      </c>
      <c r="AA94">
        <v>95</v>
      </c>
      <c r="AB94">
        <v>95</v>
      </c>
      <c r="AC94">
        <v>95</v>
      </c>
      <c r="AD94">
        <v>95</v>
      </c>
      <c r="AE94" s="10">
        <f t="shared" si="12"/>
        <v>95</v>
      </c>
      <c r="AF94" t="s">
        <v>185</v>
      </c>
      <c r="AG94">
        <v>95</v>
      </c>
      <c r="AH94">
        <v>90</v>
      </c>
      <c r="AI94">
        <v>92</v>
      </c>
      <c r="AJ94">
        <v>90</v>
      </c>
      <c r="AK94">
        <v>95</v>
      </c>
      <c r="AL94" s="10">
        <f t="shared" si="13"/>
        <v>92.4</v>
      </c>
    </row>
    <row r="95" spans="1:38">
      <c r="A95" t="s">
        <v>186</v>
      </c>
      <c r="B95" s="4">
        <v>94</v>
      </c>
      <c r="C95" s="4">
        <v>94</v>
      </c>
      <c r="D95" s="4">
        <v>94</v>
      </c>
      <c r="E95" s="4">
        <v>94.6</v>
      </c>
      <c r="F95" s="4">
        <v>94.4</v>
      </c>
      <c r="G95">
        <f t="shared" si="14"/>
        <v>94.2</v>
      </c>
      <c r="H95">
        <f t="shared" si="15"/>
        <v>0.599999999999994</v>
      </c>
      <c r="I95">
        <f t="shared" si="10"/>
        <v>1</v>
      </c>
      <c r="J95">
        <v>95</v>
      </c>
      <c r="K95" t="s">
        <v>186</v>
      </c>
      <c r="L95">
        <v>95</v>
      </c>
      <c r="M95">
        <v>95</v>
      </c>
      <c r="N95">
        <v>95</v>
      </c>
      <c r="O95">
        <v>95</v>
      </c>
      <c r="P95">
        <v>95</v>
      </c>
      <c r="Q95" s="10">
        <f t="shared" si="16"/>
        <v>95</v>
      </c>
      <c r="R95" t="s">
        <v>186</v>
      </c>
      <c r="S95">
        <v>90</v>
      </c>
      <c r="T95">
        <v>92</v>
      </c>
      <c r="U95">
        <v>92</v>
      </c>
      <c r="V95">
        <v>90</v>
      </c>
      <c r="W95">
        <v>92</v>
      </c>
      <c r="X95" s="10">
        <f t="shared" si="11"/>
        <v>91.2</v>
      </c>
      <c r="Y95" t="s">
        <v>186</v>
      </c>
      <c r="Z95">
        <v>95</v>
      </c>
      <c r="AA95">
        <v>95</v>
      </c>
      <c r="AB95">
        <v>95</v>
      </c>
      <c r="AC95">
        <v>100</v>
      </c>
      <c r="AD95">
        <v>95</v>
      </c>
      <c r="AE95" s="10">
        <f t="shared" si="12"/>
        <v>96</v>
      </c>
      <c r="AF95" t="s">
        <v>186</v>
      </c>
      <c r="AG95">
        <v>95</v>
      </c>
      <c r="AH95">
        <v>90</v>
      </c>
      <c r="AI95">
        <v>90</v>
      </c>
      <c r="AJ95">
        <v>95</v>
      </c>
      <c r="AK95">
        <v>95</v>
      </c>
      <c r="AL95" s="10">
        <f t="shared" si="13"/>
        <v>93</v>
      </c>
    </row>
    <row r="96" spans="1:38">
      <c r="A96" t="s">
        <v>187</v>
      </c>
      <c r="B96" s="4">
        <v>93</v>
      </c>
      <c r="C96" s="4">
        <v>93</v>
      </c>
      <c r="D96" s="4">
        <v>91.8</v>
      </c>
      <c r="E96" s="4">
        <v>89.5</v>
      </c>
      <c r="F96" s="4">
        <v>90</v>
      </c>
      <c r="G96">
        <f t="shared" si="14"/>
        <v>91.46</v>
      </c>
      <c r="H96">
        <f t="shared" si="15"/>
        <v>3.5</v>
      </c>
      <c r="I96">
        <f t="shared" si="10"/>
        <v>1</v>
      </c>
      <c r="J96">
        <v>92.6</v>
      </c>
      <c r="K96" t="s">
        <v>187</v>
      </c>
      <c r="L96">
        <v>95</v>
      </c>
      <c r="M96">
        <v>95</v>
      </c>
      <c r="N96">
        <v>93</v>
      </c>
      <c r="O96">
        <v>90</v>
      </c>
      <c r="P96">
        <v>90</v>
      </c>
      <c r="Q96" s="10">
        <f t="shared" si="16"/>
        <v>92.6</v>
      </c>
      <c r="R96" t="s">
        <v>187</v>
      </c>
      <c r="S96">
        <v>85</v>
      </c>
      <c r="T96">
        <v>88</v>
      </c>
      <c r="U96">
        <v>88</v>
      </c>
      <c r="V96">
        <v>82</v>
      </c>
      <c r="W96">
        <v>85</v>
      </c>
      <c r="X96" s="10">
        <f t="shared" si="11"/>
        <v>85.6</v>
      </c>
      <c r="Y96" t="s">
        <v>187</v>
      </c>
      <c r="Z96">
        <v>95</v>
      </c>
      <c r="AA96">
        <v>93</v>
      </c>
      <c r="AB96">
        <v>93</v>
      </c>
      <c r="AC96">
        <v>98</v>
      </c>
      <c r="AD96">
        <v>95</v>
      </c>
      <c r="AE96" s="10">
        <f t="shared" si="12"/>
        <v>94.8</v>
      </c>
      <c r="AF96" t="s">
        <v>187</v>
      </c>
      <c r="AG96">
        <v>95</v>
      </c>
      <c r="AH96">
        <v>90</v>
      </c>
      <c r="AI96">
        <v>90</v>
      </c>
      <c r="AJ96">
        <v>92</v>
      </c>
      <c r="AK96">
        <v>95</v>
      </c>
      <c r="AL96" s="10">
        <f t="shared" si="13"/>
        <v>92.4</v>
      </c>
    </row>
    <row r="97" spans="1:38">
      <c r="A97" t="s">
        <v>188</v>
      </c>
      <c r="B97" s="4">
        <v>92</v>
      </c>
      <c r="C97" s="4">
        <v>90.8</v>
      </c>
      <c r="D97" s="4">
        <v>90</v>
      </c>
      <c r="E97" s="4">
        <v>87.8</v>
      </c>
      <c r="F97" s="4">
        <v>89.4</v>
      </c>
      <c r="G97">
        <f t="shared" si="14"/>
        <v>90</v>
      </c>
      <c r="H97">
        <f t="shared" si="15"/>
        <v>4.2</v>
      </c>
      <c r="I97">
        <f t="shared" si="10"/>
        <v>1</v>
      </c>
      <c r="J97">
        <v>93.2</v>
      </c>
      <c r="K97" t="s">
        <v>188</v>
      </c>
      <c r="L97">
        <v>95</v>
      </c>
      <c r="M97">
        <v>92</v>
      </c>
      <c r="N97">
        <v>92</v>
      </c>
      <c r="O97">
        <v>88</v>
      </c>
      <c r="P97">
        <v>90</v>
      </c>
      <c r="Q97" s="10">
        <f t="shared" si="16"/>
        <v>91.4</v>
      </c>
      <c r="R97" t="s">
        <v>188</v>
      </c>
      <c r="S97">
        <v>80</v>
      </c>
      <c r="T97">
        <v>85</v>
      </c>
      <c r="U97">
        <v>82</v>
      </c>
      <c r="V97">
        <v>80</v>
      </c>
      <c r="W97">
        <v>82</v>
      </c>
      <c r="X97" s="10">
        <f t="shared" si="11"/>
        <v>81.8</v>
      </c>
      <c r="Y97" t="s">
        <v>188</v>
      </c>
      <c r="Z97">
        <v>95</v>
      </c>
      <c r="AA97">
        <v>95</v>
      </c>
      <c r="AB97">
        <v>93</v>
      </c>
      <c r="AC97">
        <v>98</v>
      </c>
      <c r="AD97">
        <v>95</v>
      </c>
      <c r="AE97" s="10">
        <f t="shared" si="12"/>
        <v>95.2</v>
      </c>
      <c r="AF97" t="s">
        <v>188</v>
      </c>
      <c r="AG97">
        <v>95</v>
      </c>
      <c r="AH97">
        <v>90</v>
      </c>
      <c r="AI97">
        <v>90</v>
      </c>
      <c r="AJ97">
        <v>90</v>
      </c>
      <c r="AK97">
        <v>95</v>
      </c>
      <c r="AL97" s="10">
        <f t="shared" si="13"/>
        <v>92</v>
      </c>
    </row>
    <row r="98" spans="1:38">
      <c r="A98" t="s">
        <v>189</v>
      </c>
      <c r="B98" s="4">
        <v>37.4</v>
      </c>
      <c r="C98" s="4">
        <v>22.6</v>
      </c>
      <c r="D98" s="4">
        <v>36.2</v>
      </c>
      <c r="E98" s="4">
        <v>36</v>
      </c>
      <c r="F98" s="4">
        <v>33.6</v>
      </c>
      <c r="G98">
        <f t="shared" si="14"/>
        <v>33.16</v>
      </c>
      <c r="H98">
        <f t="shared" si="15"/>
        <v>14.8</v>
      </c>
      <c r="I98">
        <f t="shared" si="10"/>
        <v>1</v>
      </c>
      <c r="J98">
        <v>47.2</v>
      </c>
      <c r="K98" t="s">
        <v>189</v>
      </c>
      <c r="L98">
        <v>20</v>
      </c>
      <c r="M98">
        <v>15</v>
      </c>
      <c r="N98">
        <v>25</v>
      </c>
      <c r="O98">
        <v>30</v>
      </c>
      <c r="P98">
        <v>22</v>
      </c>
      <c r="Q98" s="10">
        <f t="shared" si="16"/>
        <v>22.4</v>
      </c>
      <c r="R98" t="s">
        <v>189</v>
      </c>
      <c r="S98">
        <v>45</v>
      </c>
      <c r="T98">
        <v>30</v>
      </c>
      <c r="U98">
        <v>45</v>
      </c>
      <c r="V98">
        <v>40</v>
      </c>
      <c r="W98">
        <v>40</v>
      </c>
      <c r="X98" s="10">
        <f t="shared" si="11"/>
        <v>40</v>
      </c>
      <c r="Y98" t="s">
        <v>189</v>
      </c>
      <c r="Z98">
        <v>80</v>
      </c>
      <c r="AA98">
        <v>30</v>
      </c>
      <c r="AB98">
        <v>55</v>
      </c>
      <c r="AC98">
        <v>50</v>
      </c>
      <c r="AD98">
        <v>55</v>
      </c>
      <c r="AE98" s="10">
        <f t="shared" si="12"/>
        <v>54</v>
      </c>
      <c r="AF98" t="s">
        <v>189</v>
      </c>
      <c r="AG98">
        <v>85</v>
      </c>
      <c r="AH98">
        <v>50</v>
      </c>
      <c r="AI98">
        <v>70</v>
      </c>
      <c r="AJ98">
        <v>50</v>
      </c>
      <c r="AK98">
        <v>72</v>
      </c>
      <c r="AL98" s="10">
        <f t="shared" si="13"/>
        <v>65.4</v>
      </c>
    </row>
    <row r="99" spans="1:38">
      <c r="A99" t="s">
        <v>190</v>
      </c>
      <c r="B99" s="4">
        <v>95</v>
      </c>
      <c r="C99" s="4">
        <v>97</v>
      </c>
      <c r="D99" s="4">
        <v>94.2</v>
      </c>
      <c r="E99" s="4">
        <v>97.4</v>
      </c>
      <c r="F99" s="4">
        <v>95</v>
      </c>
      <c r="G99">
        <f t="shared" si="14"/>
        <v>95.72</v>
      </c>
      <c r="H99">
        <f t="shared" si="15"/>
        <v>3.2</v>
      </c>
      <c r="I99">
        <f t="shared" si="10"/>
        <v>1</v>
      </c>
      <c r="J99">
        <v>91.6</v>
      </c>
      <c r="K99" t="s">
        <v>190</v>
      </c>
      <c r="L99">
        <v>95</v>
      </c>
      <c r="M99">
        <v>98</v>
      </c>
      <c r="N99">
        <v>95</v>
      </c>
      <c r="O99">
        <v>98</v>
      </c>
      <c r="P99">
        <v>95</v>
      </c>
      <c r="Q99" s="10">
        <f t="shared" si="16"/>
        <v>96.2</v>
      </c>
      <c r="R99" t="s">
        <v>190</v>
      </c>
      <c r="S99">
        <v>95</v>
      </c>
      <c r="T99">
        <v>98</v>
      </c>
      <c r="U99">
        <v>95</v>
      </c>
      <c r="V99">
        <v>98</v>
      </c>
      <c r="W99">
        <v>95</v>
      </c>
      <c r="X99" s="10">
        <f t="shared" si="11"/>
        <v>96.2</v>
      </c>
      <c r="Y99" t="s">
        <v>190</v>
      </c>
      <c r="Z99">
        <v>95</v>
      </c>
      <c r="AA99">
        <v>95</v>
      </c>
      <c r="AB99">
        <v>92</v>
      </c>
      <c r="AC99">
        <v>95</v>
      </c>
      <c r="AD99">
        <v>95</v>
      </c>
      <c r="AE99" s="10">
        <f t="shared" si="12"/>
        <v>94.4</v>
      </c>
      <c r="AF99" t="s">
        <v>190</v>
      </c>
      <c r="AG99">
        <v>95</v>
      </c>
      <c r="AH99">
        <v>90</v>
      </c>
      <c r="AI99">
        <v>90</v>
      </c>
      <c r="AJ99">
        <v>95</v>
      </c>
      <c r="AK99">
        <v>95</v>
      </c>
      <c r="AL99" s="10">
        <f t="shared" si="13"/>
        <v>93</v>
      </c>
    </row>
    <row r="100" spans="1:38">
      <c r="A100" t="s">
        <v>191</v>
      </c>
      <c r="B100" s="4">
        <v>64.6</v>
      </c>
      <c r="C100" s="4">
        <v>33.8</v>
      </c>
      <c r="D100" s="4">
        <v>51.2</v>
      </c>
      <c r="E100" s="4">
        <v>71.2</v>
      </c>
      <c r="F100" s="4">
        <v>48.6</v>
      </c>
      <c r="G100">
        <f t="shared" si="14"/>
        <v>53.88</v>
      </c>
      <c r="H100">
        <f t="shared" si="15"/>
        <v>37.4</v>
      </c>
      <c r="I100">
        <f t="shared" si="10"/>
        <v>0</v>
      </c>
      <c r="J100">
        <v>67.2</v>
      </c>
      <c r="K100" t="s">
        <v>191</v>
      </c>
      <c r="L100">
        <v>55</v>
      </c>
      <c r="M100">
        <v>25</v>
      </c>
      <c r="N100">
        <v>40</v>
      </c>
      <c r="O100">
        <v>68</v>
      </c>
      <c r="P100">
        <v>40</v>
      </c>
      <c r="Q100" s="10">
        <f t="shared" si="16"/>
        <v>45.6</v>
      </c>
      <c r="R100" t="s">
        <v>191</v>
      </c>
      <c r="S100">
        <v>70</v>
      </c>
      <c r="T100">
        <v>40</v>
      </c>
      <c r="U100">
        <v>62</v>
      </c>
      <c r="V100">
        <v>60</v>
      </c>
      <c r="W100">
        <v>58</v>
      </c>
      <c r="X100" s="10">
        <f t="shared" si="11"/>
        <v>58</v>
      </c>
      <c r="Y100" t="s">
        <v>191</v>
      </c>
      <c r="Z100">
        <v>90</v>
      </c>
      <c r="AA100">
        <v>50</v>
      </c>
      <c r="AB100">
        <v>80</v>
      </c>
      <c r="AC100">
        <v>95</v>
      </c>
      <c r="AD100">
        <v>55</v>
      </c>
      <c r="AE100" s="10">
        <f t="shared" si="12"/>
        <v>74</v>
      </c>
      <c r="AF100" t="s">
        <v>191</v>
      </c>
      <c r="AG100">
        <v>85</v>
      </c>
      <c r="AH100">
        <v>60</v>
      </c>
      <c r="AI100">
        <v>65</v>
      </c>
      <c r="AJ100">
        <v>88</v>
      </c>
      <c r="AK100">
        <v>80</v>
      </c>
      <c r="AL100" s="10">
        <f t="shared" si="13"/>
        <v>75.6</v>
      </c>
    </row>
    <row r="101" spans="1:38">
      <c r="A101" t="s">
        <v>192</v>
      </c>
      <c r="B101" s="4">
        <v>93</v>
      </c>
      <c r="C101" s="4">
        <v>90.8</v>
      </c>
      <c r="D101" s="4">
        <v>89.6</v>
      </c>
      <c r="E101" s="4">
        <v>87.8</v>
      </c>
      <c r="F101" s="4">
        <v>87.8</v>
      </c>
      <c r="G101">
        <f t="shared" si="14"/>
        <v>89.8</v>
      </c>
      <c r="H101">
        <f t="shared" si="15"/>
        <v>5.2</v>
      </c>
      <c r="I101">
        <f t="shared" si="10"/>
        <v>1</v>
      </c>
      <c r="J101">
        <v>92.6</v>
      </c>
      <c r="K101" t="s">
        <v>192</v>
      </c>
      <c r="L101">
        <v>95</v>
      </c>
      <c r="M101">
        <v>92</v>
      </c>
      <c r="N101">
        <v>92</v>
      </c>
      <c r="O101">
        <v>88</v>
      </c>
      <c r="P101">
        <v>88</v>
      </c>
      <c r="Q101" s="10">
        <f t="shared" si="16"/>
        <v>91</v>
      </c>
      <c r="R101" t="s">
        <v>192</v>
      </c>
      <c r="S101">
        <v>85</v>
      </c>
      <c r="T101">
        <v>85</v>
      </c>
      <c r="U101">
        <v>80</v>
      </c>
      <c r="V101">
        <v>80</v>
      </c>
      <c r="W101">
        <v>80</v>
      </c>
      <c r="X101" s="10">
        <f t="shared" si="11"/>
        <v>82</v>
      </c>
      <c r="Y101" t="s">
        <v>192</v>
      </c>
      <c r="Z101">
        <v>95</v>
      </c>
      <c r="AA101">
        <v>95</v>
      </c>
      <c r="AB101">
        <v>93</v>
      </c>
      <c r="AC101">
        <v>98</v>
      </c>
      <c r="AD101">
        <v>95</v>
      </c>
      <c r="AE101" s="10">
        <f t="shared" si="12"/>
        <v>95.2</v>
      </c>
      <c r="AF101" t="s">
        <v>192</v>
      </c>
      <c r="AG101">
        <v>95</v>
      </c>
      <c r="AH101">
        <v>90</v>
      </c>
      <c r="AI101">
        <v>90</v>
      </c>
      <c r="AJ101">
        <v>90</v>
      </c>
      <c r="AK101">
        <v>95</v>
      </c>
      <c r="AL101" s="10">
        <f t="shared" si="13"/>
        <v>92</v>
      </c>
    </row>
    <row r="102" spans="1:38">
      <c r="A102" t="s">
        <v>193</v>
      </c>
      <c r="B102" s="4">
        <v>53.6</v>
      </c>
      <c r="C102" s="4">
        <v>35.8</v>
      </c>
      <c r="D102" s="4">
        <v>37.8</v>
      </c>
      <c r="E102" s="4">
        <v>37</v>
      </c>
      <c r="F102" s="4">
        <v>36</v>
      </c>
      <c r="G102">
        <f t="shared" ref="G102:G133" si="17">AVERAGE(B102:F102)</f>
        <v>40.04</v>
      </c>
      <c r="H102">
        <f t="shared" ref="H102:H133" si="18">MAX(B102:F102)-MIN(B102:F102)</f>
        <v>17.8</v>
      </c>
      <c r="I102">
        <f t="shared" si="10"/>
        <v>1</v>
      </c>
      <c r="J102">
        <v>81.6</v>
      </c>
      <c r="K102" t="s">
        <v>193</v>
      </c>
      <c r="L102">
        <v>40</v>
      </c>
      <c r="M102">
        <v>30</v>
      </c>
      <c r="N102">
        <v>25</v>
      </c>
      <c r="O102">
        <v>30</v>
      </c>
      <c r="P102">
        <v>26</v>
      </c>
      <c r="Q102" s="10">
        <f t="shared" ref="Q102:Q133" si="19">AVERAGE(L102:P102)</f>
        <v>30.2</v>
      </c>
      <c r="R102" t="s">
        <v>193</v>
      </c>
      <c r="S102">
        <v>60</v>
      </c>
      <c r="T102">
        <v>35</v>
      </c>
      <c r="U102">
        <v>50</v>
      </c>
      <c r="V102">
        <v>40</v>
      </c>
      <c r="W102">
        <v>38</v>
      </c>
      <c r="X102" s="10">
        <f t="shared" si="11"/>
        <v>44.6</v>
      </c>
      <c r="Y102" t="s">
        <v>193</v>
      </c>
      <c r="Z102">
        <v>90</v>
      </c>
      <c r="AA102">
        <v>50</v>
      </c>
      <c r="AB102">
        <v>60</v>
      </c>
      <c r="AC102">
        <v>55</v>
      </c>
      <c r="AD102">
        <v>55</v>
      </c>
      <c r="AE102" s="10">
        <f t="shared" si="12"/>
        <v>62</v>
      </c>
      <c r="AF102" t="s">
        <v>193</v>
      </c>
      <c r="AG102">
        <v>85</v>
      </c>
      <c r="AH102">
        <v>60</v>
      </c>
      <c r="AI102">
        <v>70</v>
      </c>
      <c r="AJ102">
        <v>55</v>
      </c>
      <c r="AK102">
        <v>78</v>
      </c>
      <c r="AL102" s="10">
        <f t="shared" si="13"/>
        <v>69.6</v>
      </c>
    </row>
    <row r="103" spans="1:38">
      <c r="A103" t="s">
        <v>194</v>
      </c>
      <c r="B103" s="4">
        <v>87.6</v>
      </c>
      <c r="C103" s="4">
        <v>81.6</v>
      </c>
      <c r="D103" s="4">
        <v>78.6</v>
      </c>
      <c r="E103" s="4">
        <v>74.6</v>
      </c>
      <c r="F103" s="4">
        <v>87.8</v>
      </c>
      <c r="G103">
        <f t="shared" si="17"/>
        <v>82.04</v>
      </c>
      <c r="H103">
        <f t="shared" si="18"/>
        <v>13.2</v>
      </c>
      <c r="I103">
        <f t="shared" si="10"/>
        <v>1</v>
      </c>
      <c r="J103">
        <v>90</v>
      </c>
      <c r="K103" t="s">
        <v>194</v>
      </c>
      <c r="L103">
        <v>90</v>
      </c>
      <c r="M103">
        <v>85</v>
      </c>
      <c r="N103">
        <v>78</v>
      </c>
      <c r="O103">
        <v>72</v>
      </c>
      <c r="P103">
        <v>88</v>
      </c>
      <c r="Q103" s="10">
        <f t="shared" si="19"/>
        <v>82.6</v>
      </c>
      <c r="R103" t="s">
        <v>194</v>
      </c>
      <c r="S103">
        <v>75</v>
      </c>
      <c r="T103">
        <v>65</v>
      </c>
      <c r="U103">
        <v>70</v>
      </c>
      <c r="V103">
        <v>65</v>
      </c>
      <c r="W103">
        <v>80</v>
      </c>
      <c r="X103" s="10">
        <f t="shared" si="11"/>
        <v>71</v>
      </c>
      <c r="Y103" t="s">
        <v>194</v>
      </c>
      <c r="Z103">
        <v>95</v>
      </c>
      <c r="AA103">
        <v>93</v>
      </c>
      <c r="AB103">
        <v>90</v>
      </c>
      <c r="AC103">
        <v>95</v>
      </c>
      <c r="AD103">
        <v>95</v>
      </c>
      <c r="AE103" s="10">
        <f t="shared" si="12"/>
        <v>93.6</v>
      </c>
      <c r="AF103" t="s">
        <v>194</v>
      </c>
      <c r="AG103">
        <v>90</v>
      </c>
      <c r="AH103">
        <v>80</v>
      </c>
      <c r="AI103">
        <v>88</v>
      </c>
      <c r="AJ103">
        <v>88</v>
      </c>
      <c r="AK103">
        <v>95</v>
      </c>
      <c r="AL103" s="10">
        <f t="shared" si="13"/>
        <v>88.2</v>
      </c>
    </row>
    <row r="104" spans="1:38">
      <c r="A104" t="s">
        <v>195</v>
      </c>
      <c r="B104" s="4">
        <v>94</v>
      </c>
      <c r="C104" s="4">
        <v>93.4</v>
      </c>
      <c r="D104" s="4">
        <v>91.2</v>
      </c>
      <c r="E104" s="4">
        <v>91.2</v>
      </c>
      <c r="F104" s="4">
        <v>89.8</v>
      </c>
      <c r="G104">
        <f t="shared" si="17"/>
        <v>91.92</v>
      </c>
      <c r="H104">
        <f t="shared" si="18"/>
        <v>4.2</v>
      </c>
      <c r="I104">
        <f t="shared" si="10"/>
        <v>1</v>
      </c>
      <c r="J104">
        <v>93.2</v>
      </c>
      <c r="K104" t="s">
        <v>195</v>
      </c>
      <c r="L104">
        <v>95</v>
      </c>
      <c r="M104">
        <v>95</v>
      </c>
      <c r="N104">
        <v>93</v>
      </c>
      <c r="O104">
        <v>92</v>
      </c>
      <c r="P104">
        <v>90</v>
      </c>
      <c r="Q104" s="10">
        <f t="shared" si="19"/>
        <v>93</v>
      </c>
      <c r="R104" t="s">
        <v>195</v>
      </c>
      <c r="S104">
        <v>90</v>
      </c>
      <c r="T104">
        <v>90</v>
      </c>
      <c r="U104">
        <v>85</v>
      </c>
      <c r="V104">
        <v>85</v>
      </c>
      <c r="W104">
        <v>84</v>
      </c>
      <c r="X104" s="10">
        <f t="shared" si="11"/>
        <v>86.8</v>
      </c>
      <c r="Y104" t="s">
        <v>195</v>
      </c>
      <c r="Z104">
        <v>95</v>
      </c>
      <c r="AA104">
        <v>93</v>
      </c>
      <c r="AB104">
        <v>93</v>
      </c>
      <c r="AC104">
        <v>98</v>
      </c>
      <c r="AD104">
        <v>95</v>
      </c>
      <c r="AE104" s="10">
        <f t="shared" si="12"/>
        <v>94.8</v>
      </c>
      <c r="AF104" t="s">
        <v>195</v>
      </c>
      <c r="AG104">
        <v>95</v>
      </c>
      <c r="AH104">
        <v>90</v>
      </c>
      <c r="AI104">
        <v>90</v>
      </c>
      <c r="AJ104">
        <v>90</v>
      </c>
      <c r="AK104">
        <v>95</v>
      </c>
      <c r="AL104" s="10">
        <f t="shared" si="13"/>
        <v>92</v>
      </c>
    </row>
    <row r="105" spans="1:38">
      <c r="A105" t="s">
        <v>196</v>
      </c>
      <c r="B105" s="4">
        <v>93</v>
      </c>
      <c r="C105" s="4">
        <v>93.4</v>
      </c>
      <c r="D105" s="4">
        <v>91.4</v>
      </c>
      <c r="E105" s="4">
        <v>89.4</v>
      </c>
      <c r="F105" s="4">
        <v>89.8</v>
      </c>
      <c r="G105">
        <f t="shared" si="17"/>
        <v>91.4</v>
      </c>
      <c r="H105">
        <f t="shared" si="18"/>
        <v>4</v>
      </c>
      <c r="I105">
        <f t="shared" si="10"/>
        <v>1</v>
      </c>
      <c r="J105">
        <v>93.2</v>
      </c>
      <c r="K105" t="s">
        <v>196</v>
      </c>
      <c r="L105">
        <v>95</v>
      </c>
      <c r="M105">
        <v>95</v>
      </c>
      <c r="N105">
        <v>93</v>
      </c>
      <c r="O105">
        <v>90</v>
      </c>
      <c r="P105">
        <v>90</v>
      </c>
      <c r="Q105" s="10">
        <f t="shared" si="19"/>
        <v>92.6</v>
      </c>
      <c r="R105" t="s">
        <v>196</v>
      </c>
      <c r="S105">
        <v>85</v>
      </c>
      <c r="T105">
        <v>90</v>
      </c>
      <c r="U105">
        <v>86</v>
      </c>
      <c r="V105">
        <v>82</v>
      </c>
      <c r="W105">
        <v>84</v>
      </c>
      <c r="X105" s="10">
        <f t="shared" si="11"/>
        <v>85.4</v>
      </c>
      <c r="Y105" t="s">
        <v>196</v>
      </c>
      <c r="Z105">
        <v>95</v>
      </c>
      <c r="AA105">
        <v>93</v>
      </c>
      <c r="AB105">
        <v>93</v>
      </c>
      <c r="AC105">
        <v>98</v>
      </c>
      <c r="AD105">
        <v>95</v>
      </c>
      <c r="AE105" s="10">
        <f t="shared" si="12"/>
        <v>94.8</v>
      </c>
      <c r="AF105" t="s">
        <v>196</v>
      </c>
      <c r="AG105">
        <v>95</v>
      </c>
      <c r="AH105">
        <v>90</v>
      </c>
      <c r="AI105">
        <v>90</v>
      </c>
      <c r="AJ105">
        <v>90</v>
      </c>
      <c r="AK105">
        <v>95</v>
      </c>
      <c r="AL105" s="10">
        <f t="shared" si="13"/>
        <v>92</v>
      </c>
    </row>
    <row r="106" spans="1:38">
      <c r="A106" t="s">
        <v>197</v>
      </c>
      <c r="B106" s="4">
        <v>93</v>
      </c>
      <c r="C106" s="4">
        <v>87.4</v>
      </c>
      <c r="D106" s="4">
        <v>90</v>
      </c>
      <c r="E106" s="4">
        <v>85.4</v>
      </c>
      <c r="F106" s="4">
        <v>87.8</v>
      </c>
      <c r="G106">
        <f t="shared" si="17"/>
        <v>88.72</v>
      </c>
      <c r="H106">
        <f t="shared" si="18"/>
        <v>7.59999999999999</v>
      </c>
      <c r="I106">
        <f t="shared" si="10"/>
        <v>1</v>
      </c>
      <c r="J106">
        <v>94</v>
      </c>
      <c r="K106" t="s">
        <v>197</v>
      </c>
      <c r="L106">
        <v>95</v>
      </c>
      <c r="M106">
        <v>88</v>
      </c>
      <c r="N106">
        <v>92</v>
      </c>
      <c r="O106">
        <v>85</v>
      </c>
      <c r="P106">
        <v>88</v>
      </c>
      <c r="Q106" s="10">
        <f t="shared" si="19"/>
        <v>89.6</v>
      </c>
      <c r="R106" t="s">
        <v>197</v>
      </c>
      <c r="S106">
        <v>85</v>
      </c>
      <c r="T106">
        <v>80</v>
      </c>
      <c r="U106">
        <v>82</v>
      </c>
      <c r="V106">
        <v>78</v>
      </c>
      <c r="W106">
        <v>80</v>
      </c>
      <c r="X106" s="10">
        <f t="shared" si="11"/>
        <v>81</v>
      </c>
      <c r="Y106" t="s">
        <v>197</v>
      </c>
      <c r="Z106">
        <v>95</v>
      </c>
      <c r="AA106">
        <v>95</v>
      </c>
      <c r="AB106">
        <v>93</v>
      </c>
      <c r="AC106">
        <v>98</v>
      </c>
      <c r="AD106">
        <v>95</v>
      </c>
      <c r="AE106" s="10">
        <f t="shared" si="12"/>
        <v>95.2</v>
      </c>
      <c r="AF106" t="s">
        <v>197</v>
      </c>
      <c r="AG106">
        <v>95</v>
      </c>
      <c r="AH106">
        <v>90</v>
      </c>
      <c r="AI106">
        <v>90</v>
      </c>
      <c r="AJ106">
        <v>88</v>
      </c>
      <c r="AK106">
        <v>95</v>
      </c>
      <c r="AL106" s="10">
        <f t="shared" si="13"/>
        <v>91.6</v>
      </c>
    </row>
    <row r="107" spans="1:38">
      <c r="A107" t="s">
        <v>198</v>
      </c>
      <c r="B107" s="4">
        <v>93</v>
      </c>
      <c r="C107" s="4">
        <v>93</v>
      </c>
      <c r="D107" s="4">
        <v>91.2</v>
      </c>
      <c r="E107" s="4">
        <v>91.2</v>
      </c>
      <c r="F107" s="4">
        <v>89.8</v>
      </c>
      <c r="G107">
        <f t="shared" si="17"/>
        <v>91.64</v>
      </c>
      <c r="H107">
        <f t="shared" si="18"/>
        <v>3.2</v>
      </c>
      <c r="I107">
        <f t="shared" si="10"/>
        <v>1</v>
      </c>
      <c r="J107">
        <v>92.6</v>
      </c>
      <c r="K107" t="s">
        <v>198</v>
      </c>
      <c r="L107">
        <v>95</v>
      </c>
      <c r="M107">
        <v>95</v>
      </c>
      <c r="N107">
        <v>93</v>
      </c>
      <c r="O107">
        <v>92</v>
      </c>
      <c r="P107">
        <v>90</v>
      </c>
      <c r="Q107" s="10">
        <f t="shared" si="19"/>
        <v>93</v>
      </c>
      <c r="R107" t="s">
        <v>198</v>
      </c>
      <c r="S107">
        <v>85</v>
      </c>
      <c r="T107">
        <v>88</v>
      </c>
      <c r="U107">
        <v>85</v>
      </c>
      <c r="V107">
        <v>85</v>
      </c>
      <c r="W107">
        <v>84</v>
      </c>
      <c r="X107" s="10">
        <f t="shared" si="11"/>
        <v>85.4</v>
      </c>
      <c r="Y107" t="s">
        <v>198</v>
      </c>
      <c r="Z107">
        <v>95</v>
      </c>
      <c r="AA107">
        <v>93</v>
      </c>
      <c r="AB107">
        <v>93</v>
      </c>
      <c r="AC107">
        <v>98</v>
      </c>
      <c r="AD107">
        <v>95</v>
      </c>
      <c r="AE107" s="10">
        <f t="shared" si="12"/>
        <v>94.8</v>
      </c>
      <c r="AF107" t="s">
        <v>198</v>
      </c>
      <c r="AG107">
        <v>95</v>
      </c>
      <c r="AH107">
        <v>90</v>
      </c>
      <c r="AI107">
        <v>90</v>
      </c>
      <c r="AJ107">
        <v>90</v>
      </c>
      <c r="AK107">
        <v>95</v>
      </c>
      <c r="AL107" s="10">
        <f t="shared" si="13"/>
        <v>92</v>
      </c>
    </row>
    <row r="108" spans="1:38">
      <c r="A108" t="s">
        <v>199</v>
      </c>
      <c r="B108" s="4">
        <v>93</v>
      </c>
      <c r="C108" s="4">
        <v>90.8</v>
      </c>
      <c r="D108" s="4">
        <v>90.2</v>
      </c>
      <c r="E108" s="4">
        <v>85.4</v>
      </c>
      <c r="F108" s="4">
        <v>89.8</v>
      </c>
      <c r="G108">
        <f t="shared" si="17"/>
        <v>89.84</v>
      </c>
      <c r="H108">
        <f t="shared" si="18"/>
        <v>7.59999999999999</v>
      </c>
      <c r="I108">
        <f t="shared" si="10"/>
        <v>1</v>
      </c>
      <c r="J108">
        <v>92.6</v>
      </c>
      <c r="K108" t="s">
        <v>199</v>
      </c>
      <c r="L108">
        <v>95</v>
      </c>
      <c r="M108">
        <v>92</v>
      </c>
      <c r="N108">
        <v>92</v>
      </c>
      <c r="O108">
        <v>85</v>
      </c>
      <c r="P108">
        <v>90</v>
      </c>
      <c r="Q108" s="10">
        <f t="shared" si="19"/>
        <v>90.8</v>
      </c>
      <c r="R108" t="s">
        <v>199</v>
      </c>
      <c r="S108">
        <v>85</v>
      </c>
      <c r="T108">
        <v>85</v>
      </c>
      <c r="U108">
        <v>83</v>
      </c>
      <c r="V108">
        <v>78</v>
      </c>
      <c r="W108">
        <v>84</v>
      </c>
      <c r="X108" s="10">
        <f t="shared" si="11"/>
        <v>83</v>
      </c>
      <c r="Y108" t="s">
        <v>199</v>
      </c>
      <c r="Z108">
        <v>95</v>
      </c>
      <c r="AA108">
        <v>95</v>
      </c>
      <c r="AB108">
        <v>93</v>
      </c>
      <c r="AC108">
        <v>98</v>
      </c>
      <c r="AD108">
        <v>95</v>
      </c>
      <c r="AE108" s="10">
        <f t="shared" si="12"/>
        <v>95.2</v>
      </c>
      <c r="AF108" t="s">
        <v>199</v>
      </c>
      <c r="AG108">
        <v>95</v>
      </c>
      <c r="AH108">
        <v>90</v>
      </c>
      <c r="AI108">
        <v>90</v>
      </c>
      <c r="AJ108">
        <v>88</v>
      </c>
      <c r="AK108">
        <v>95</v>
      </c>
      <c r="AL108" s="10">
        <f t="shared" si="13"/>
        <v>91.6</v>
      </c>
    </row>
    <row r="109" spans="1:38">
      <c r="A109" t="s">
        <v>200</v>
      </c>
      <c r="B109" s="4">
        <v>93</v>
      </c>
      <c r="C109" s="4">
        <v>91.2</v>
      </c>
      <c r="D109" s="4">
        <v>91</v>
      </c>
      <c r="E109" s="4">
        <v>89.4</v>
      </c>
      <c r="F109" s="4">
        <v>89.8</v>
      </c>
      <c r="G109">
        <f t="shared" si="17"/>
        <v>90.88</v>
      </c>
      <c r="H109">
        <f t="shared" si="18"/>
        <v>3.59999999999999</v>
      </c>
      <c r="I109">
        <f t="shared" si="10"/>
        <v>1</v>
      </c>
      <c r="J109">
        <v>92.6</v>
      </c>
      <c r="K109" t="s">
        <v>200</v>
      </c>
      <c r="L109">
        <v>95</v>
      </c>
      <c r="M109">
        <v>92</v>
      </c>
      <c r="N109">
        <v>93</v>
      </c>
      <c r="O109">
        <v>90</v>
      </c>
      <c r="P109">
        <v>90</v>
      </c>
      <c r="Q109" s="10">
        <f t="shared" si="19"/>
        <v>92</v>
      </c>
      <c r="R109" t="s">
        <v>200</v>
      </c>
      <c r="S109">
        <v>85</v>
      </c>
      <c r="T109">
        <v>88</v>
      </c>
      <c r="U109">
        <v>84</v>
      </c>
      <c r="V109">
        <v>82</v>
      </c>
      <c r="W109">
        <v>84</v>
      </c>
      <c r="X109" s="10">
        <f t="shared" si="11"/>
        <v>84.6</v>
      </c>
      <c r="Y109" t="s">
        <v>200</v>
      </c>
      <c r="Z109">
        <v>95</v>
      </c>
      <c r="AA109">
        <v>93</v>
      </c>
      <c r="AB109">
        <v>93</v>
      </c>
      <c r="AC109">
        <v>98</v>
      </c>
      <c r="AD109">
        <v>95</v>
      </c>
      <c r="AE109" s="10">
        <f t="shared" si="12"/>
        <v>94.8</v>
      </c>
      <c r="AF109" t="s">
        <v>200</v>
      </c>
      <c r="AG109">
        <v>95</v>
      </c>
      <c r="AH109">
        <v>90</v>
      </c>
      <c r="AI109">
        <v>90</v>
      </c>
      <c r="AJ109">
        <v>90</v>
      </c>
      <c r="AK109">
        <v>95</v>
      </c>
      <c r="AL109" s="10">
        <f t="shared" si="13"/>
        <v>92</v>
      </c>
    </row>
    <row r="110" spans="1:38">
      <c r="A110" t="s">
        <v>201</v>
      </c>
      <c r="B110" s="4">
        <v>91</v>
      </c>
      <c r="C110" s="4">
        <v>84.2</v>
      </c>
      <c r="D110" s="4">
        <v>89.2</v>
      </c>
      <c r="E110" s="4">
        <v>83</v>
      </c>
      <c r="F110" s="4">
        <v>82</v>
      </c>
      <c r="G110">
        <f t="shared" si="17"/>
        <v>85.88</v>
      </c>
      <c r="H110">
        <f t="shared" si="18"/>
        <v>9</v>
      </c>
      <c r="I110">
        <f t="shared" si="10"/>
        <v>1</v>
      </c>
      <c r="J110">
        <v>87.6</v>
      </c>
      <c r="K110" t="s">
        <v>201</v>
      </c>
      <c r="L110">
        <v>95</v>
      </c>
      <c r="M110">
        <v>88</v>
      </c>
      <c r="N110">
        <v>92</v>
      </c>
      <c r="O110">
        <v>85</v>
      </c>
      <c r="P110">
        <v>85</v>
      </c>
      <c r="Q110" s="10">
        <f t="shared" si="19"/>
        <v>89</v>
      </c>
      <c r="R110" t="s">
        <v>201</v>
      </c>
      <c r="S110">
        <v>75</v>
      </c>
      <c r="T110">
        <v>65</v>
      </c>
      <c r="U110">
        <v>78</v>
      </c>
      <c r="V110">
        <v>65</v>
      </c>
      <c r="W110">
        <v>60</v>
      </c>
      <c r="X110" s="10">
        <f t="shared" si="11"/>
        <v>68.6</v>
      </c>
      <c r="Y110" t="s">
        <v>201</v>
      </c>
      <c r="Z110">
        <v>95</v>
      </c>
      <c r="AA110">
        <v>93</v>
      </c>
      <c r="AB110">
        <v>93</v>
      </c>
      <c r="AC110">
        <v>98</v>
      </c>
      <c r="AD110">
        <v>95</v>
      </c>
      <c r="AE110" s="10">
        <f t="shared" si="12"/>
        <v>94.8</v>
      </c>
      <c r="AF110" t="s">
        <v>201</v>
      </c>
      <c r="AG110">
        <v>95</v>
      </c>
      <c r="AH110">
        <v>90</v>
      </c>
      <c r="AI110">
        <v>90</v>
      </c>
      <c r="AJ110">
        <v>90</v>
      </c>
      <c r="AK110">
        <v>95</v>
      </c>
      <c r="AL110" s="10">
        <f t="shared" si="13"/>
        <v>92</v>
      </c>
    </row>
    <row r="111" spans="1:38">
      <c r="A111" t="s">
        <v>202</v>
      </c>
      <c r="B111" s="4">
        <v>94</v>
      </c>
      <c r="C111" s="4">
        <v>90.8</v>
      </c>
      <c r="D111" s="4">
        <v>91.4</v>
      </c>
      <c r="E111" s="4">
        <v>91.8</v>
      </c>
      <c r="F111" s="4">
        <v>90</v>
      </c>
      <c r="G111">
        <f t="shared" si="17"/>
        <v>91.6</v>
      </c>
      <c r="H111">
        <f t="shared" si="18"/>
        <v>4</v>
      </c>
      <c r="I111">
        <f t="shared" si="10"/>
        <v>1</v>
      </c>
      <c r="J111">
        <v>93.2</v>
      </c>
      <c r="K111" t="s">
        <v>202</v>
      </c>
      <c r="L111">
        <v>95</v>
      </c>
      <c r="M111">
        <v>92</v>
      </c>
      <c r="N111">
        <v>93</v>
      </c>
      <c r="O111">
        <v>92</v>
      </c>
      <c r="P111">
        <v>90</v>
      </c>
      <c r="Q111" s="10">
        <f t="shared" si="19"/>
        <v>92.4</v>
      </c>
      <c r="R111" t="s">
        <v>202</v>
      </c>
      <c r="S111">
        <v>90</v>
      </c>
      <c r="T111">
        <v>85</v>
      </c>
      <c r="U111">
        <v>86</v>
      </c>
      <c r="V111">
        <v>88</v>
      </c>
      <c r="W111">
        <v>85</v>
      </c>
      <c r="X111" s="10">
        <f t="shared" si="11"/>
        <v>86.8</v>
      </c>
      <c r="Y111" t="s">
        <v>202</v>
      </c>
      <c r="Z111">
        <v>95</v>
      </c>
      <c r="AA111">
        <v>95</v>
      </c>
      <c r="AB111">
        <v>93</v>
      </c>
      <c r="AC111">
        <v>98</v>
      </c>
      <c r="AD111">
        <v>95</v>
      </c>
      <c r="AE111" s="10">
        <f t="shared" si="12"/>
        <v>95.2</v>
      </c>
      <c r="AF111" t="s">
        <v>202</v>
      </c>
      <c r="AG111">
        <v>95</v>
      </c>
      <c r="AH111">
        <v>90</v>
      </c>
      <c r="AI111">
        <v>90</v>
      </c>
      <c r="AJ111">
        <v>90</v>
      </c>
      <c r="AK111">
        <v>95</v>
      </c>
      <c r="AL111" s="10">
        <f t="shared" si="13"/>
        <v>92</v>
      </c>
    </row>
    <row r="112" spans="1:38">
      <c r="A112" t="s">
        <v>203</v>
      </c>
      <c r="B112" s="4">
        <v>92</v>
      </c>
      <c r="C112" s="4">
        <v>85.2</v>
      </c>
      <c r="D112" s="4">
        <v>89.2</v>
      </c>
      <c r="E112" s="4">
        <v>83.8</v>
      </c>
      <c r="F112" s="4">
        <v>87.8</v>
      </c>
      <c r="G112">
        <f t="shared" si="17"/>
        <v>87.6</v>
      </c>
      <c r="H112">
        <f t="shared" si="18"/>
        <v>8.2</v>
      </c>
      <c r="I112">
        <f t="shared" si="10"/>
        <v>1</v>
      </c>
      <c r="J112">
        <v>90</v>
      </c>
      <c r="K112" t="s">
        <v>203</v>
      </c>
      <c r="L112">
        <v>95</v>
      </c>
      <c r="M112">
        <v>88</v>
      </c>
      <c r="N112">
        <v>92</v>
      </c>
      <c r="O112">
        <v>85</v>
      </c>
      <c r="P112">
        <v>88</v>
      </c>
      <c r="Q112" s="10">
        <f t="shared" si="19"/>
        <v>89.6</v>
      </c>
      <c r="R112" t="s">
        <v>203</v>
      </c>
      <c r="S112">
        <v>80</v>
      </c>
      <c r="T112">
        <v>70</v>
      </c>
      <c r="U112">
        <v>78</v>
      </c>
      <c r="V112">
        <v>70</v>
      </c>
      <c r="W112">
        <v>80</v>
      </c>
      <c r="X112" s="10">
        <f t="shared" si="11"/>
        <v>75.6</v>
      </c>
      <c r="Y112" t="s">
        <v>203</v>
      </c>
      <c r="Z112">
        <v>95</v>
      </c>
      <c r="AA112">
        <v>93</v>
      </c>
      <c r="AB112">
        <v>93</v>
      </c>
      <c r="AC112">
        <v>98</v>
      </c>
      <c r="AD112">
        <v>95</v>
      </c>
      <c r="AE112" s="10">
        <f t="shared" si="12"/>
        <v>94.8</v>
      </c>
      <c r="AF112" t="s">
        <v>203</v>
      </c>
      <c r="AG112">
        <v>95</v>
      </c>
      <c r="AH112">
        <v>90</v>
      </c>
      <c r="AI112">
        <v>90</v>
      </c>
      <c r="AJ112">
        <v>88</v>
      </c>
      <c r="AK112">
        <v>95</v>
      </c>
      <c r="AL112" s="10">
        <f t="shared" si="13"/>
        <v>91.6</v>
      </c>
    </row>
    <row r="113" s="5" customFormat="1" spans="1:38">
      <c r="A113" s="5" t="s">
        <v>204</v>
      </c>
      <c r="B113" s="6">
        <v>91.6</v>
      </c>
      <c r="C113" s="6">
        <v>86.8</v>
      </c>
      <c r="D113" s="6">
        <v>92</v>
      </c>
      <c r="E113" s="6">
        <v>88.2</v>
      </c>
      <c r="F113" s="6">
        <v>92.6</v>
      </c>
      <c r="G113">
        <f t="shared" si="17"/>
        <v>90.24</v>
      </c>
      <c r="H113">
        <f t="shared" si="18"/>
        <v>5.8</v>
      </c>
      <c r="I113" s="5">
        <f t="shared" si="10"/>
        <v>1</v>
      </c>
      <c r="J113" s="6">
        <v>79.4</v>
      </c>
      <c r="K113" s="5" t="s">
        <v>204</v>
      </c>
      <c r="L113" s="5">
        <v>92</v>
      </c>
      <c r="M113" s="5">
        <v>90</v>
      </c>
      <c r="N113" s="5">
        <v>93</v>
      </c>
      <c r="O113" s="5">
        <v>90</v>
      </c>
      <c r="P113" s="5">
        <v>95</v>
      </c>
      <c r="Q113" s="10">
        <f t="shared" si="19"/>
        <v>92</v>
      </c>
      <c r="R113" s="5" t="s">
        <v>204</v>
      </c>
      <c r="S113" s="5">
        <v>90</v>
      </c>
      <c r="T113" s="5">
        <v>78</v>
      </c>
      <c r="U113" s="5">
        <v>90</v>
      </c>
      <c r="V113" s="5">
        <v>82</v>
      </c>
      <c r="W113" s="5">
        <v>88</v>
      </c>
      <c r="X113" s="10">
        <f t="shared" si="11"/>
        <v>85.6</v>
      </c>
      <c r="Y113" s="5" t="s">
        <v>204</v>
      </c>
      <c r="Z113" s="5">
        <v>90</v>
      </c>
      <c r="AA113" s="5">
        <v>90</v>
      </c>
      <c r="AB113" s="5">
        <v>92</v>
      </c>
      <c r="AC113" s="5">
        <v>95</v>
      </c>
      <c r="AD113" s="5">
        <v>90</v>
      </c>
      <c r="AE113" s="10">
        <f t="shared" si="12"/>
        <v>91.4</v>
      </c>
      <c r="AF113" s="5" t="s">
        <v>204</v>
      </c>
      <c r="AG113" s="5">
        <v>95</v>
      </c>
      <c r="AH113" s="5">
        <v>80</v>
      </c>
      <c r="AI113" s="5">
        <v>90</v>
      </c>
      <c r="AJ113" s="5">
        <v>80</v>
      </c>
      <c r="AK113" s="5">
        <v>90</v>
      </c>
      <c r="AL113" s="10">
        <f t="shared" si="13"/>
        <v>87</v>
      </c>
    </row>
    <row r="114" s="5" customFormat="1" spans="1:38">
      <c r="A114" s="5" t="s">
        <v>205</v>
      </c>
      <c r="B114" s="6">
        <v>85.2</v>
      </c>
      <c r="C114" s="6">
        <v>86.2</v>
      </c>
      <c r="D114" s="6">
        <v>88.6</v>
      </c>
      <c r="E114" s="6">
        <v>81.8</v>
      </c>
      <c r="F114" s="6">
        <v>88.6</v>
      </c>
      <c r="G114">
        <f t="shared" si="17"/>
        <v>86.08</v>
      </c>
      <c r="H114">
        <f t="shared" si="18"/>
        <v>6.8</v>
      </c>
      <c r="I114" s="5">
        <f t="shared" si="10"/>
        <v>1</v>
      </c>
      <c r="J114" s="6">
        <v>63.6</v>
      </c>
      <c r="K114" s="5" t="s">
        <v>205</v>
      </c>
      <c r="L114" s="5">
        <v>85</v>
      </c>
      <c r="M114" s="5">
        <v>90</v>
      </c>
      <c r="N114" s="5">
        <v>90</v>
      </c>
      <c r="O114" s="5">
        <v>82</v>
      </c>
      <c r="P114" s="5">
        <v>90</v>
      </c>
      <c r="Q114" s="10">
        <f t="shared" si="19"/>
        <v>87.4</v>
      </c>
      <c r="R114" s="5" t="s">
        <v>205</v>
      </c>
      <c r="S114" s="5">
        <v>80</v>
      </c>
      <c r="T114" s="5">
        <v>72</v>
      </c>
      <c r="U114" s="5">
        <v>80</v>
      </c>
      <c r="V114" s="5">
        <v>72</v>
      </c>
      <c r="W114" s="5">
        <v>80</v>
      </c>
      <c r="X114" s="10">
        <f t="shared" si="11"/>
        <v>76.8</v>
      </c>
      <c r="Y114" s="5" t="s">
        <v>205</v>
      </c>
      <c r="Z114" s="5">
        <v>95</v>
      </c>
      <c r="AA114" s="5">
        <v>95</v>
      </c>
      <c r="AB114" s="5">
        <v>95</v>
      </c>
      <c r="AC114" s="5">
        <v>98</v>
      </c>
      <c r="AD114" s="5">
        <v>100</v>
      </c>
      <c r="AE114" s="10">
        <f t="shared" si="12"/>
        <v>96.6</v>
      </c>
      <c r="AF114" s="5" t="s">
        <v>205</v>
      </c>
      <c r="AG114" s="5">
        <v>85</v>
      </c>
      <c r="AH114" s="5">
        <v>80</v>
      </c>
      <c r="AI114" s="5">
        <v>90</v>
      </c>
      <c r="AJ114" s="5">
        <v>80</v>
      </c>
      <c r="AK114" s="5">
        <v>82</v>
      </c>
      <c r="AL114" s="10">
        <f t="shared" si="13"/>
        <v>83.4</v>
      </c>
    </row>
    <row r="115" s="5" customFormat="1" spans="1:38">
      <c r="A115" s="5" t="s">
        <v>206</v>
      </c>
      <c r="B115" s="6">
        <v>46</v>
      </c>
      <c r="C115" s="6">
        <v>41</v>
      </c>
      <c r="D115" s="6">
        <v>51.4</v>
      </c>
      <c r="E115" s="6">
        <v>50.2</v>
      </c>
      <c r="F115" s="6">
        <v>50.6</v>
      </c>
      <c r="G115">
        <f t="shared" si="17"/>
        <v>47.84</v>
      </c>
      <c r="H115">
        <f t="shared" si="18"/>
        <v>10.4</v>
      </c>
      <c r="I115" s="5">
        <f t="shared" si="10"/>
        <v>1</v>
      </c>
      <c r="J115" s="6">
        <v>45.2</v>
      </c>
      <c r="K115" s="5" t="s">
        <v>206</v>
      </c>
      <c r="L115" s="5">
        <v>35</v>
      </c>
      <c r="M115" s="5">
        <v>35</v>
      </c>
      <c r="N115" s="5">
        <v>40</v>
      </c>
      <c r="O115" s="5">
        <v>40</v>
      </c>
      <c r="P115" s="5">
        <v>38</v>
      </c>
      <c r="Q115" s="10">
        <f t="shared" si="19"/>
        <v>37.6</v>
      </c>
      <c r="R115" s="5" t="s">
        <v>206</v>
      </c>
      <c r="S115" s="5">
        <v>45</v>
      </c>
      <c r="T115" s="5">
        <v>42</v>
      </c>
      <c r="U115" s="5">
        <v>48</v>
      </c>
      <c r="V115" s="5">
        <v>48</v>
      </c>
      <c r="W115" s="5">
        <v>58</v>
      </c>
      <c r="X115" s="10">
        <f t="shared" si="11"/>
        <v>48.2</v>
      </c>
      <c r="Y115" s="5" t="s">
        <v>206</v>
      </c>
      <c r="Z115" s="5">
        <v>80</v>
      </c>
      <c r="AA115" s="5">
        <v>50</v>
      </c>
      <c r="AB115" s="5">
        <v>90</v>
      </c>
      <c r="AC115" s="5">
        <v>85</v>
      </c>
      <c r="AD115" s="5">
        <v>78</v>
      </c>
      <c r="AE115" s="10">
        <f t="shared" si="12"/>
        <v>76.6</v>
      </c>
      <c r="AF115" s="5" t="s">
        <v>206</v>
      </c>
      <c r="AG115" s="5">
        <v>80</v>
      </c>
      <c r="AH115" s="5">
        <v>70</v>
      </c>
      <c r="AI115" s="5">
        <v>88</v>
      </c>
      <c r="AJ115" s="5">
        <v>80</v>
      </c>
      <c r="AK115" s="5">
        <v>85</v>
      </c>
      <c r="AL115" s="10">
        <f t="shared" si="13"/>
        <v>80.6</v>
      </c>
    </row>
    <row r="116" s="5" customFormat="1" spans="1:38">
      <c r="A116" s="5" t="s">
        <v>207</v>
      </c>
      <c r="B116" s="6">
        <v>91.6</v>
      </c>
      <c r="C116" s="6">
        <v>89.8</v>
      </c>
      <c r="D116" s="6">
        <v>93</v>
      </c>
      <c r="E116" s="6">
        <v>90.6</v>
      </c>
      <c r="F116" s="6">
        <v>93.4</v>
      </c>
      <c r="G116">
        <f t="shared" si="17"/>
        <v>91.68</v>
      </c>
      <c r="H116">
        <f t="shared" si="18"/>
        <v>3.60000000000001</v>
      </c>
      <c r="I116" s="5">
        <f t="shared" si="10"/>
        <v>1</v>
      </c>
      <c r="J116" s="6">
        <v>82.2</v>
      </c>
      <c r="K116" s="5" t="s">
        <v>207</v>
      </c>
      <c r="L116" s="5">
        <v>92</v>
      </c>
      <c r="M116" s="5">
        <v>92</v>
      </c>
      <c r="N116" s="5">
        <v>94</v>
      </c>
      <c r="O116" s="5">
        <v>92</v>
      </c>
      <c r="P116" s="5">
        <v>95</v>
      </c>
      <c r="Q116" s="10">
        <f t="shared" si="19"/>
        <v>93</v>
      </c>
      <c r="R116" s="5" t="s">
        <v>207</v>
      </c>
      <c r="S116" s="5">
        <v>90</v>
      </c>
      <c r="T116" s="5">
        <v>88</v>
      </c>
      <c r="U116" s="5">
        <v>92</v>
      </c>
      <c r="V116" s="5">
        <v>88</v>
      </c>
      <c r="W116" s="5">
        <v>92</v>
      </c>
      <c r="X116" s="10">
        <f t="shared" si="11"/>
        <v>90</v>
      </c>
      <c r="Y116" s="5" t="s">
        <v>207</v>
      </c>
      <c r="Z116" s="5">
        <v>90</v>
      </c>
      <c r="AA116" s="5">
        <v>88</v>
      </c>
      <c r="AB116" s="5">
        <v>92</v>
      </c>
      <c r="AC116" s="5">
        <v>95</v>
      </c>
      <c r="AD116" s="5">
        <v>90</v>
      </c>
      <c r="AE116" s="10">
        <f t="shared" si="12"/>
        <v>91</v>
      </c>
      <c r="AF116" s="5" t="s">
        <v>207</v>
      </c>
      <c r="AG116" s="5">
        <v>95</v>
      </c>
      <c r="AH116" s="5">
        <v>80</v>
      </c>
      <c r="AI116" s="5">
        <v>90</v>
      </c>
      <c r="AJ116" s="5">
        <v>80</v>
      </c>
      <c r="AK116" s="5">
        <v>90</v>
      </c>
      <c r="AL116" s="10">
        <f t="shared" si="13"/>
        <v>87</v>
      </c>
    </row>
    <row r="117" s="5" customFormat="1" spans="1:38">
      <c r="A117" s="5" t="s">
        <v>208</v>
      </c>
      <c r="B117" s="6">
        <v>84.8</v>
      </c>
      <c r="C117" s="6">
        <v>86.2</v>
      </c>
      <c r="D117" s="6">
        <v>88.6</v>
      </c>
      <c r="E117" s="6">
        <v>80.2</v>
      </c>
      <c r="F117" s="6">
        <v>88.6</v>
      </c>
      <c r="G117">
        <f t="shared" si="17"/>
        <v>85.68</v>
      </c>
      <c r="H117">
        <f t="shared" si="18"/>
        <v>8.39999999999999</v>
      </c>
      <c r="I117" s="5">
        <f t="shared" si="10"/>
        <v>1</v>
      </c>
      <c r="J117" s="6">
        <v>72.2</v>
      </c>
      <c r="K117" s="5" t="s">
        <v>208</v>
      </c>
      <c r="L117" s="5">
        <v>85</v>
      </c>
      <c r="M117" s="5">
        <v>90</v>
      </c>
      <c r="N117" s="5">
        <v>90</v>
      </c>
      <c r="O117" s="5">
        <v>80</v>
      </c>
      <c r="P117" s="5">
        <v>90</v>
      </c>
      <c r="Q117" s="10">
        <f t="shared" si="19"/>
        <v>87</v>
      </c>
      <c r="R117" s="5" t="s">
        <v>208</v>
      </c>
      <c r="S117" s="5">
        <v>78</v>
      </c>
      <c r="T117" s="5">
        <v>72</v>
      </c>
      <c r="U117" s="5">
        <v>80</v>
      </c>
      <c r="V117" s="5">
        <v>70</v>
      </c>
      <c r="W117" s="5">
        <v>80</v>
      </c>
      <c r="X117" s="10">
        <f t="shared" si="11"/>
        <v>76</v>
      </c>
      <c r="Y117" s="5" t="s">
        <v>208</v>
      </c>
      <c r="Z117" s="5">
        <v>95</v>
      </c>
      <c r="AA117" s="5">
        <v>95</v>
      </c>
      <c r="AB117" s="5">
        <v>95</v>
      </c>
      <c r="AC117" s="5">
        <v>98</v>
      </c>
      <c r="AD117" s="5">
        <v>100</v>
      </c>
      <c r="AE117" s="10">
        <f t="shared" si="12"/>
        <v>96.6</v>
      </c>
      <c r="AF117" s="5" t="s">
        <v>208</v>
      </c>
      <c r="AG117" s="5">
        <v>85</v>
      </c>
      <c r="AH117" s="5">
        <v>80</v>
      </c>
      <c r="AI117" s="5">
        <v>90</v>
      </c>
      <c r="AJ117" s="5">
        <v>80</v>
      </c>
      <c r="AK117" s="5">
        <v>82</v>
      </c>
      <c r="AL117" s="10">
        <f t="shared" si="13"/>
        <v>83.4</v>
      </c>
    </row>
    <row r="118" s="5" customFormat="1" spans="1:38">
      <c r="A118" s="5" t="s">
        <v>209</v>
      </c>
      <c r="B118" s="6">
        <v>88.8</v>
      </c>
      <c r="C118" s="6">
        <v>89</v>
      </c>
      <c r="D118" s="6">
        <v>92.4</v>
      </c>
      <c r="E118" s="6">
        <v>87.4</v>
      </c>
      <c r="F118" s="6">
        <v>93.2</v>
      </c>
      <c r="G118">
        <f t="shared" si="17"/>
        <v>90.16</v>
      </c>
      <c r="H118">
        <f t="shared" si="18"/>
        <v>5.8</v>
      </c>
      <c r="I118" s="5">
        <f t="shared" si="10"/>
        <v>1</v>
      </c>
      <c r="J118" s="6">
        <v>74.2</v>
      </c>
      <c r="K118" s="5" t="s">
        <v>209</v>
      </c>
      <c r="L118" s="5">
        <v>88</v>
      </c>
      <c r="M118" s="5">
        <v>92</v>
      </c>
      <c r="N118" s="5">
        <v>93</v>
      </c>
      <c r="O118" s="5">
        <v>88</v>
      </c>
      <c r="P118" s="5">
        <v>95</v>
      </c>
      <c r="Q118" s="10">
        <f t="shared" si="19"/>
        <v>91.2</v>
      </c>
      <c r="R118" s="5" t="s">
        <v>209</v>
      </c>
      <c r="S118" s="5">
        <v>88</v>
      </c>
      <c r="T118" s="5">
        <v>80</v>
      </c>
      <c r="U118" s="5">
        <v>90</v>
      </c>
      <c r="V118" s="5">
        <v>82</v>
      </c>
      <c r="W118" s="5">
        <v>88</v>
      </c>
      <c r="X118" s="10">
        <f t="shared" si="11"/>
        <v>85.6</v>
      </c>
      <c r="Y118" s="5" t="s">
        <v>209</v>
      </c>
      <c r="Z118" s="5">
        <v>95</v>
      </c>
      <c r="AA118" s="5">
        <v>95</v>
      </c>
      <c r="AB118" s="5">
        <v>95</v>
      </c>
      <c r="AC118" s="5">
        <v>98</v>
      </c>
      <c r="AD118" s="5">
        <v>100</v>
      </c>
      <c r="AE118" s="10">
        <f t="shared" si="12"/>
        <v>96.6</v>
      </c>
      <c r="AF118" s="5" t="s">
        <v>209</v>
      </c>
      <c r="AG118" s="5">
        <v>88</v>
      </c>
      <c r="AH118" s="5">
        <v>80</v>
      </c>
      <c r="AI118" s="5">
        <v>90</v>
      </c>
      <c r="AJ118" s="5">
        <v>80</v>
      </c>
      <c r="AK118" s="5">
        <v>82</v>
      </c>
      <c r="AL118" s="10">
        <f t="shared" si="13"/>
        <v>84</v>
      </c>
    </row>
    <row r="119" s="5" customFormat="1" spans="1:38">
      <c r="A119" s="5" t="s">
        <v>210</v>
      </c>
      <c r="B119" s="6">
        <v>88.8</v>
      </c>
      <c r="C119" s="6">
        <v>89</v>
      </c>
      <c r="D119" s="6">
        <v>92.4</v>
      </c>
      <c r="E119" s="6">
        <v>87.4</v>
      </c>
      <c r="F119" s="6">
        <v>93.2</v>
      </c>
      <c r="G119">
        <f t="shared" si="17"/>
        <v>90.16</v>
      </c>
      <c r="H119">
        <f t="shared" si="18"/>
        <v>5.8</v>
      </c>
      <c r="I119" s="5">
        <f t="shared" si="10"/>
        <v>1</v>
      </c>
      <c r="J119" s="6">
        <v>74.2</v>
      </c>
      <c r="K119" s="5" t="s">
        <v>210</v>
      </c>
      <c r="L119" s="5">
        <v>88</v>
      </c>
      <c r="M119" s="5">
        <v>92</v>
      </c>
      <c r="N119" s="5">
        <v>93</v>
      </c>
      <c r="O119" s="5">
        <v>88</v>
      </c>
      <c r="P119" s="5">
        <v>95</v>
      </c>
      <c r="Q119" s="10">
        <f t="shared" si="19"/>
        <v>91.2</v>
      </c>
      <c r="R119" s="5" t="s">
        <v>210</v>
      </c>
      <c r="S119" s="5">
        <v>88</v>
      </c>
      <c r="T119" s="5">
        <v>80</v>
      </c>
      <c r="U119" s="5">
        <v>90</v>
      </c>
      <c r="V119" s="5">
        <v>82</v>
      </c>
      <c r="W119" s="5">
        <v>88</v>
      </c>
      <c r="X119" s="10">
        <f t="shared" si="11"/>
        <v>85.6</v>
      </c>
      <c r="Y119" s="5" t="s">
        <v>210</v>
      </c>
      <c r="Z119" s="5">
        <v>95</v>
      </c>
      <c r="AA119" s="5">
        <v>95</v>
      </c>
      <c r="AB119" s="5">
        <v>95</v>
      </c>
      <c r="AC119" s="5">
        <v>98</v>
      </c>
      <c r="AD119" s="5">
        <v>100</v>
      </c>
      <c r="AE119" s="10">
        <f t="shared" si="12"/>
        <v>96.6</v>
      </c>
      <c r="AF119" s="5" t="s">
        <v>210</v>
      </c>
      <c r="AG119" s="5">
        <v>88</v>
      </c>
      <c r="AH119" s="5">
        <v>80</v>
      </c>
      <c r="AI119" s="5">
        <v>90</v>
      </c>
      <c r="AJ119" s="5">
        <v>80</v>
      </c>
      <c r="AK119" s="5">
        <v>82</v>
      </c>
      <c r="AL119" s="10">
        <f t="shared" si="13"/>
        <v>84</v>
      </c>
    </row>
    <row r="120" s="5" customFormat="1" spans="1:38">
      <c r="A120" s="5" t="s">
        <v>211</v>
      </c>
      <c r="B120" s="6">
        <v>91.6</v>
      </c>
      <c r="C120" s="6">
        <v>89.8</v>
      </c>
      <c r="D120" s="6">
        <v>93</v>
      </c>
      <c r="E120" s="6">
        <v>90.2</v>
      </c>
      <c r="F120" s="6">
        <v>93.4</v>
      </c>
      <c r="G120">
        <f t="shared" si="17"/>
        <v>91.6</v>
      </c>
      <c r="H120">
        <f t="shared" si="18"/>
        <v>3.60000000000001</v>
      </c>
      <c r="I120" s="5">
        <f t="shared" si="10"/>
        <v>1</v>
      </c>
      <c r="J120" s="6">
        <v>83.4</v>
      </c>
      <c r="K120" s="5" t="s">
        <v>211</v>
      </c>
      <c r="L120" s="5">
        <v>92</v>
      </c>
      <c r="M120" s="5">
        <v>92</v>
      </c>
      <c r="N120" s="5">
        <v>94</v>
      </c>
      <c r="O120" s="5">
        <v>92</v>
      </c>
      <c r="P120" s="5">
        <v>95</v>
      </c>
      <c r="Q120" s="10">
        <f t="shared" si="19"/>
        <v>93</v>
      </c>
      <c r="R120" s="5" t="s">
        <v>211</v>
      </c>
      <c r="S120" s="5">
        <v>90</v>
      </c>
      <c r="T120" s="5">
        <v>88</v>
      </c>
      <c r="U120" s="5">
        <v>92</v>
      </c>
      <c r="V120" s="5">
        <v>86</v>
      </c>
      <c r="W120" s="5">
        <v>92</v>
      </c>
      <c r="X120" s="10">
        <f t="shared" si="11"/>
        <v>89.6</v>
      </c>
      <c r="Y120" s="5" t="s">
        <v>211</v>
      </c>
      <c r="Z120" s="5">
        <v>90</v>
      </c>
      <c r="AA120" s="5">
        <v>88</v>
      </c>
      <c r="AB120" s="5">
        <v>92</v>
      </c>
      <c r="AC120" s="5">
        <v>95</v>
      </c>
      <c r="AD120" s="5">
        <v>90</v>
      </c>
      <c r="AE120" s="10">
        <f t="shared" si="12"/>
        <v>91</v>
      </c>
      <c r="AF120" s="5" t="s">
        <v>211</v>
      </c>
      <c r="AG120" s="5">
        <v>95</v>
      </c>
      <c r="AH120" s="5">
        <v>80</v>
      </c>
      <c r="AI120" s="5">
        <v>90</v>
      </c>
      <c r="AJ120" s="5">
        <v>80</v>
      </c>
      <c r="AK120" s="5">
        <v>90</v>
      </c>
      <c r="AL120" s="10">
        <f t="shared" si="13"/>
        <v>87</v>
      </c>
    </row>
    <row r="121" s="5" customFormat="1" spans="1:38">
      <c r="A121" s="5" t="s">
        <v>212</v>
      </c>
      <c r="B121" s="6">
        <v>93.4</v>
      </c>
      <c r="C121" s="6">
        <v>90.4</v>
      </c>
      <c r="D121" s="6">
        <v>94.4</v>
      </c>
      <c r="E121" s="6">
        <v>92.8</v>
      </c>
      <c r="F121" s="6">
        <v>95.8</v>
      </c>
      <c r="G121">
        <f t="shared" si="17"/>
        <v>93.36</v>
      </c>
      <c r="H121">
        <f t="shared" si="18"/>
        <v>5.39999999999999</v>
      </c>
      <c r="I121" s="5">
        <f t="shared" si="10"/>
        <v>1</v>
      </c>
      <c r="J121" s="6">
        <v>78.2</v>
      </c>
      <c r="K121" s="5" t="s">
        <v>212</v>
      </c>
      <c r="L121" s="5">
        <v>95</v>
      </c>
      <c r="M121" s="5">
        <v>94</v>
      </c>
      <c r="N121" s="5">
        <v>96</v>
      </c>
      <c r="O121" s="5">
        <v>95</v>
      </c>
      <c r="P121" s="5">
        <v>98</v>
      </c>
      <c r="Q121" s="10">
        <f t="shared" si="19"/>
        <v>95.6</v>
      </c>
      <c r="R121" s="5" t="s">
        <v>212</v>
      </c>
      <c r="S121" s="5">
        <v>90</v>
      </c>
      <c r="T121" s="5">
        <v>85</v>
      </c>
      <c r="U121" s="5">
        <v>93</v>
      </c>
      <c r="V121" s="5">
        <v>90</v>
      </c>
      <c r="W121" s="5">
        <v>95</v>
      </c>
      <c r="X121" s="10">
        <f t="shared" si="11"/>
        <v>90.6</v>
      </c>
      <c r="Y121" s="5" t="s">
        <v>212</v>
      </c>
      <c r="Z121" s="5">
        <v>90</v>
      </c>
      <c r="AA121" s="5">
        <v>88</v>
      </c>
      <c r="AB121" s="5">
        <v>92</v>
      </c>
      <c r="AC121" s="5">
        <v>95</v>
      </c>
      <c r="AD121" s="5">
        <v>90</v>
      </c>
      <c r="AE121" s="10">
        <f t="shared" si="12"/>
        <v>91</v>
      </c>
      <c r="AF121" s="5" t="s">
        <v>212</v>
      </c>
      <c r="AG121" s="5">
        <v>95</v>
      </c>
      <c r="AH121" s="5">
        <v>80</v>
      </c>
      <c r="AI121" s="5">
        <v>90</v>
      </c>
      <c r="AJ121" s="5">
        <v>80</v>
      </c>
      <c r="AK121" s="5">
        <v>90</v>
      </c>
      <c r="AL121" s="10">
        <f t="shared" si="13"/>
        <v>87</v>
      </c>
    </row>
    <row r="122" s="5" customFormat="1" spans="1:38">
      <c r="A122" s="5" t="s">
        <v>213</v>
      </c>
      <c r="B122" s="6">
        <v>21</v>
      </c>
      <c r="C122" s="6">
        <v>24.4</v>
      </c>
      <c r="D122" s="6">
        <v>32.6</v>
      </c>
      <c r="E122" s="6">
        <v>21.8</v>
      </c>
      <c r="F122" s="6">
        <v>28.4</v>
      </c>
      <c r="G122">
        <f t="shared" si="17"/>
        <v>25.64</v>
      </c>
      <c r="H122">
        <f t="shared" si="18"/>
        <v>11.6</v>
      </c>
      <c r="I122" s="5">
        <f t="shared" si="10"/>
        <v>1</v>
      </c>
      <c r="J122" s="6">
        <v>18.8</v>
      </c>
      <c r="K122" s="5" t="s">
        <v>213</v>
      </c>
      <c r="L122" s="5">
        <v>20</v>
      </c>
      <c r="M122" s="5">
        <v>20</v>
      </c>
      <c r="N122" s="5">
        <v>20</v>
      </c>
      <c r="O122" s="5">
        <v>18</v>
      </c>
      <c r="P122" s="5">
        <v>22</v>
      </c>
      <c r="Q122" s="10">
        <f t="shared" si="19"/>
        <v>20</v>
      </c>
      <c r="R122" s="5" t="s">
        <v>213</v>
      </c>
      <c r="S122" s="5">
        <v>20</v>
      </c>
      <c r="T122" s="5">
        <v>15</v>
      </c>
      <c r="U122" s="5">
        <v>32</v>
      </c>
      <c r="V122" s="5">
        <v>12</v>
      </c>
      <c r="W122" s="5">
        <v>30</v>
      </c>
      <c r="X122" s="10">
        <f t="shared" si="11"/>
        <v>21.8</v>
      </c>
      <c r="Y122" s="5" t="s">
        <v>213</v>
      </c>
      <c r="Z122" s="5">
        <v>25</v>
      </c>
      <c r="AA122" s="5">
        <v>45</v>
      </c>
      <c r="AB122" s="5">
        <v>65</v>
      </c>
      <c r="AC122" s="5">
        <v>55</v>
      </c>
      <c r="AD122" s="5">
        <v>40</v>
      </c>
      <c r="AE122" s="10">
        <f t="shared" si="12"/>
        <v>46</v>
      </c>
      <c r="AF122" s="5" t="s">
        <v>213</v>
      </c>
      <c r="AG122" s="5">
        <v>25</v>
      </c>
      <c r="AH122" s="5">
        <v>50</v>
      </c>
      <c r="AI122" s="5">
        <v>80</v>
      </c>
      <c r="AJ122" s="5">
        <v>25</v>
      </c>
      <c r="AK122" s="5">
        <v>55</v>
      </c>
      <c r="AL122" s="10">
        <f t="shared" si="13"/>
        <v>47</v>
      </c>
    </row>
    <row r="123" s="5" customFormat="1" spans="1:38">
      <c r="A123" s="5" t="s">
        <v>214</v>
      </c>
      <c r="B123" s="6">
        <v>84.8</v>
      </c>
      <c r="C123" s="6">
        <v>86.2</v>
      </c>
      <c r="D123" s="6">
        <v>88.6</v>
      </c>
      <c r="E123" s="6">
        <v>80.6</v>
      </c>
      <c r="F123" s="6">
        <v>88.6</v>
      </c>
      <c r="G123">
        <f t="shared" si="17"/>
        <v>85.76</v>
      </c>
      <c r="H123">
        <f t="shared" si="18"/>
        <v>8</v>
      </c>
      <c r="I123" s="5">
        <f t="shared" si="10"/>
        <v>1</v>
      </c>
      <c r="J123" s="6">
        <v>72.2</v>
      </c>
      <c r="K123" s="5" t="s">
        <v>214</v>
      </c>
      <c r="L123" s="5">
        <v>85</v>
      </c>
      <c r="M123" s="5">
        <v>90</v>
      </c>
      <c r="N123" s="5">
        <v>90</v>
      </c>
      <c r="O123" s="5">
        <v>80</v>
      </c>
      <c r="P123" s="5">
        <v>90</v>
      </c>
      <c r="Q123" s="10">
        <f t="shared" si="19"/>
        <v>87</v>
      </c>
      <c r="R123" s="5" t="s">
        <v>214</v>
      </c>
      <c r="S123" s="5">
        <v>78</v>
      </c>
      <c r="T123" s="5">
        <v>72</v>
      </c>
      <c r="U123" s="5">
        <v>80</v>
      </c>
      <c r="V123" s="5">
        <v>72</v>
      </c>
      <c r="W123" s="5">
        <v>80</v>
      </c>
      <c r="X123" s="10">
        <f t="shared" si="11"/>
        <v>76.4</v>
      </c>
      <c r="Y123" s="5" t="s">
        <v>214</v>
      </c>
      <c r="Z123" s="5">
        <v>95</v>
      </c>
      <c r="AA123" s="5">
        <v>95</v>
      </c>
      <c r="AB123" s="5">
        <v>95</v>
      </c>
      <c r="AC123" s="5">
        <v>98</v>
      </c>
      <c r="AD123" s="5">
        <v>100</v>
      </c>
      <c r="AE123" s="10">
        <f t="shared" si="12"/>
        <v>96.6</v>
      </c>
      <c r="AF123" s="5" t="s">
        <v>214</v>
      </c>
      <c r="AG123" s="5">
        <v>85</v>
      </c>
      <c r="AH123" s="5">
        <v>80</v>
      </c>
      <c r="AI123" s="5">
        <v>90</v>
      </c>
      <c r="AJ123" s="5">
        <v>80</v>
      </c>
      <c r="AK123" s="5">
        <v>82</v>
      </c>
      <c r="AL123" s="10">
        <f t="shared" si="13"/>
        <v>83.4</v>
      </c>
    </row>
    <row r="124" s="5" customFormat="1" spans="1:38">
      <c r="A124" s="5" t="s">
        <v>215</v>
      </c>
      <c r="B124" s="6">
        <v>92</v>
      </c>
      <c r="C124" s="6">
        <v>92</v>
      </c>
      <c r="D124" s="6">
        <v>90</v>
      </c>
      <c r="E124" s="6">
        <v>93.2</v>
      </c>
      <c r="F124" s="6">
        <v>94</v>
      </c>
      <c r="G124">
        <f t="shared" si="17"/>
        <v>92.24</v>
      </c>
      <c r="H124">
        <f t="shared" si="18"/>
        <v>4</v>
      </c>
      <c r="I124" s="5">
        <f t="shared" si="10"/>
        <v>1</v>
      </c>
      <c r="J124" s="6">
        <v>88</v>
      </c>
      <c r="K124" s="5" t="s">
        <v>215</v>
      </c>
      <c r="L124" s="5">
        <v>92</v>
      </c>
      <c r="M124" s="5">
        <v>95</v>
      </c>
      <c r="N124" s="5">
        <v>88</v>
      </c>
      <c r="O124" s="5">
        <v>95</v>
      </c>
      <c r="P124" s="5">
        <v>95</v>
      </c>
      <c r="Q124" s="10">
        <f t="shared" si="19"/>
        <v>93</v>
      </c>
      <c r="R124" s="5" t="s">
        <v>215</v>
      </c>
      <c r="S124" s="5">
        <v>90</v>
      </c>
      <c r="T124" s="5">
        <v>85</v>
      </c>
      <c r="U124" s="5">
        <v>92</v>
      </c>
      <c r="V124" s="5">
        <v>90</v>
      </c>
      <c r="W124" s="5">
        <v>90</v>
      </c>
      <c r="X124" s="10">
        <f t="shared" si="11"/>
        <v>89.4</v>
      </c>
      <c r="Y124" s="5" t="s">
        <v>215</v>
      </c>
      <c r="Z124" s="5">
        <v>95</v>
      </c>
      <c r="AA124" s="5">
        <v>95</v>
      </c>
      <c r="AB124" s="5">
        <v>95</v>
      </c>
      <c r="AC124" s="5">
        <v>98</v>
      </c>
      <c r="AD124" s="5">
        <v>100</v>
      </c>
      <c r="AE124" s="10">
        <f t="shared" si="12"/>
        <v>96.6</v>
      </c>
      <c r="AF124" s="5" t="s">
        <v>215</v>
      </c>
      <c r="AG124" s="5">
        <v>92</v>
      </c>
      <c r="AH124" s="5">
        <v>82</v>
      </c>
      <c r="AI124" s="5">
        <v>92</v>
      </c>
      <c r="AJ124" s="5">
        <v>80</v>
      </c>
      <c r="AK124" s="5">
        <v>88</v>
      </c>
      <c r="AL124" s="10">
        <f t="shared" si="13"/>
        <v>86.8</v>
      </c>
    </row>
    <row r="125" s="5" customFormat="1" spans="1:38">
      <c r="A125" s="5" t="s">
        <v>216</v>
      </c>
      <c r="B125" s="6">
        <v>88.8</v>
      </c>
      <c r="C125" s="6">
        <v>88.6</v>
      </c>
      <c r="D125" s="6">
        <v>91.4</v>
      </c>
      <c r="E125" s="6">
        <v>84.8</v>
      </c>
      <c r="F125" s="6">
        <v>92</v>
      </c>
      <c r="G125">
        <f t="shared" si="17"/>
        <v>89.12</v>
      </c>
      <c r="H125">
        <f t="shared" si="18"/>
        <v>7.2</v>
      </c>
      <c r="I125" s="5">
        <f t="shared" si="10"/>
        <v>1</v>
      </c>
      <c r="J125" s="6">
        <v>85.8</v>
      </c>
      <c r="K125" s="5" t="s">
        <v>216</v>
      </c>
      <c r="L125" s="5">
        <v>90</v>
      </c>
      <c r="M125" s="5">
        <v>92</v>
      </c>
      <c r="N125" s="5">
        <v>94</v>
      </c>
      <c r="O125" s="5">
        <v>85</v>
      </c>
      <c r="P125" s="5">
        <v>95</v>
      </c>
      <c r="Q125" s="10">
        <f t="shared" si="19"/>
        <v>91.2</v>
      </c>
      <c r="R125" s="5" t="s">
        <v>216</v>
      </c>
      <c r="S125" s="5">
        <v>82</v>
      </c>
      <c r="T125" s="5">
        <v>78</v>
      </c>
      <c r="U125" s="5">
        <v>82</v>
      </c>
      <c r="V125" s="5">
        <v>78</v>
      </c>
      <c r="W125" s="5">
        <v>82</v>
      </c>
      <c r="X125" s="10">
        <f t="shared" si="11"/>
        <v>80.4</v>
      </c>
      <c r="Y125" s="5" t="s">
        <v>216</v>
      </c>
      <c r="Z125" s="5">
        <v>95</v>
      </c>
      <c r="AA125" s="5">
        <v>95</v>
      </c>
      <c r="AB125" s="5">
        <v>95</v>
      </c>
      <c r="AC125" s="5">
        <v>98</v>
      </c>
      <c r="AD125" s="5">
        <v>100</v>
      </c>
      <c r="AE125" s="10">
        <f t="shared" si="12"/>
        <v>96.6</v>
      </c>
      <c r="AF125" s="5" t="s">
        <v>216</v>
      </c>
      <c r="AG125" s="5">
        <v>88</v>
      </c>
      <c r="AH125" s="5">
        <v>80</v>
      </c>
      <c r="AI125" s="5">
        <v>90</v>
      </c>
      <c r="AJ125" s="5">
        <v>80</v>
      </c>
      <c r="AK125" s="5">
        <v>82</v>
      </c>
      <c r="AL125" s="10">
        <f t="shared" si="13"/>
        <v>84</v>
      </c>
    </row>
    <row r="126" s="5" customFormat="1" spans="1:38">
      <c r="A126" s="5" t="s">
        <v>217</v>
      </c>
      <c r="B126" s="6">
        <v>89</v>
      </c>
      <c r="C126" s="6">
        <v>84.8</v>
      </c>
      <c r="D126" s="6">
        <v>88.6</v>
      </c>
      <c r="E126" s="6">
        <v>83.8</v>
      </c>
      <c r="F126" s="6">
        <v>90</v>
      </c>
      <c r="G126">
        <f t="shared" si="17"/>
        <v>87.24</v>
      </c>
      <c r="H126">
        <f t="shared" si="18"/>
        <v>6.2</v>
      </c>
      <c r="I126" s="5">
        <f t="shared" si="10"/>
        <v>1</v>
      </c>
      <c r="J126" s="6">
        <v>67.4</v>
      </c>
      <c r="K126" s="5" t="s">
        <v>217</v>
      </c>
      <c r="L126" s="5">
        <v>90</v>
      </c>
      <c r="M126" s="5">
        <v>88</v>
      </c>
      <c r="N126" s="5">
        <v>90</v>
      </c>
      <c r="O126" s="5">
        <v>85</v>
      </c>
      <c r="P126" s="5">
        <v>93</v>
      </c>
      <c r="Q126" s="10">
        <f t="shared" si="19"/>
        <v>89.2</v>
      </c>
      <c r="R126" s="5" t="s">
        <v>217</v>
      </c>
      <c r="S126" s="5">
        <v>85</v>
      </c>
      <c r="T126" s="5">
        <v>75</v>
      </c>
      <c r="U126" s="5">
        <v>82</v>
      </c>
      <c r="V126" s="5">
        <v>75</v>
      </c>
      <c r="W126" s="5">
        <v>82</v>
      </c>
      <c r="X126" s="10">
        <f t="shared" si="11"/>
        <v>79.8</v>
      </c>
      <c r="Y126" s="5" t="s">
        <v>217</v>
      </c>
      <c r="Z126" s="5">
        <v>90</v>
      </c>
      <c r="AA126" s="5">
        <v>88</v>
      </c>
      <c r="AB126" s="5">
        <v>92</v>
      </c>
      <c r="AC126" s="5">
        <v>95</v>
      </c>
      <c r="AD126" s="5">
        <v>90</v>
      </c>
      <c r="AE126" s="10">
        <f t="shared" si="12"/>
        <v>91</v>
      </c>
      <c r="AF126" s="5" t="s">
        <v>217</v>
      </c>
      <c r="AG126" s="5">
        <v>90</v>
      </c>
      <c r="AH126" s="5">
        <v>80</v>
      </c>
      <c r="AI126" s="5">
        <v>90</v>
      </c>
      <c r="AJ126" s="5">
        <v>80</v>
      </c>
      <c r="AK126" s="5">
        <v>88</v>
      </c>
      <c r="AL126" s="10">
        <f t="shared" si="13"/>
        <v>85.6</v>
      </c>
    </row>
    <row r="127" s="5" customFormat="1" spans="1:38">
      <c r="A127" s="5" t="s">
        <v>218</v>
      </c>
      <c r="B127" s="6">
        <v>79</v>
      </c>
      <c r="C127" s="6">
        <v>76.2</v>
      </c>
      <c r="D127" s="6">
        <v>81.4</v>
      </c>
      <c r="E127" s="6">
        <v>77.8</v>
      </c>
      <c r="F127" s="6">
        <v>88.2</v>
      </c>
      <c r="G127">
        <f t="shared" si="17"/>
        <v>80.52</v>
      </c>
      <c r="H127">
        <f t="shared" si="18"/>
        <v>12</v>
      </c>
      <c r="I127" s="5">
        <f t="shared" si="10"/>
        <v>1</v>
      </c>
      <c r="J127" s="6">
        <v>69.2</v>
      </c>
      <c r="K127" s="5" t="s">
        <v>218</v>
      </c>
      <c r="L127" s="5">
        <v>78</v>
      </c>
      <c r="M127" s="5">
        <v>82</v>
      </c>
      <c r="N127" s="5">
        <v>85</v>
      </c>
      <c r="O127" s="5">
        <v>78</v>
      </c>
      <c r="P127" s="5">
        <v>90</v>
      </c>
      <c r="Q127" s="10">
        <f t="shared" si="19"/>
        <v>82.6</v>
      </c>
      <c r="R127" s="5" t="s">
        <v>218</v>
      </c>
      <c r="S127" s="5">
        <v>70</v>
      </c>
      <c r="T127" s="5">
        <v>52</v>
      </c>
      <c r="U127" s="5">
        <v>60</v>
      </c>
      <c r="V127" s="5">
        <v>65</v>
      </c>
      <c r="W127" s="5">
        <v>78</v>
      </c>
      <c r="X127" s="10">
        <f t="shared" si="11"/>
        <v>65</v>
      </c>
      <c r="Y127" s="5" t="s">
        <v>218</v>
      </c>
      <c r="Z127" s="5">
        <v>95</v>
      </c>
      <c r="AA127" s="5">
        <v>95</v>
      </c>
      <c r="AB127" s="5">
        <v>95</v>
      </c>
      <c r="AC127" s="5">
        <v>98</v>
      </c>
      <c r="AD127" s="5">
        <v>100</v>
      </c>
      <c r="AE127" s="10">
        <f t="shared" si="12"/>
        <v>96.6</v>
      </c>
      <c r="AF127" s="5" t="s">
        <v>218</v>
      </c>
      <c r="AG127" s="5">
        <v>85</v>
      </c>
      <c r="AH127" s="5">
        <v>65</v>
      </c>
      <c r="AI127" s="5">
        <v>88</v>
      </c>
      <c r="AJ127" s="5">
        <v>78</v>
      </c>
      <c r="AK127" s="5">
        <v>82</v>
      </c>
      <c r="AL127" s="10">
        <f t="shared" si="13"/>
        <v>79.6</v>
      </c>
    </row>
    <row r="128" s="5" customFormat="1" spans="1:38">
      <c r="A128" s="5" t="s">
        <v>219</v>
      </c>
      <c r="B128" s="6">
        <v>79.6</v>
      </c>
      <c r="C128" s="6">
        <v>78.4</v>
      </c>
      <c r="D128" s="6">
        <v>81.5</v>
      </c>
      <c r="E128" s="6">
        <v>84.4</v>
      </c>
      <c r="F128" s="6">
        <v>90.6</v>
      </c>
      <c r="G128">
        <f t="shared" si="17"/>
        <v>82.9</v>
      </c>
      <c r="H128">
        <f t="shared" si="18"/>
        <v>12.2</v>
      </c>
      <c r="I128" s="5">
        <f t="shared" si="10"/>
        <v>1</v>
      </c>
      <c r="J128" s="6">
        <v>67.4</v>
      </c>
      <c r="K128" s="5" t="s">
        <v>219</v>
      </c>
      <c r="L128" s="5">
        <v>80</v>
      </c>
      <c r="M128" s="5">
        <v>85</v>
      </c>
      <c r="N128" s="5">
        <v>85</v>
      </c>
      <c r="O128" s="5">
        <v>85</v>
      </c>
      <c r="P128" s="5">
        <v>93</v>
      </c>
      <c r="Q128" s="10">
        <f t="shared" si="19"/>
        <v>85.6</v>
      </c>
      <c r="R128" s="5" t="s">
        <v>219</v>
      </c>
      <c r="S128" s="5">
        <v>70</v>
      </c>
      <c r="T128" s="5">
        <v>58</v>
      </c>
      <c r="U128" s="5">
        <v>62</v>
      </c>
      <c r="V128" s="5">
        <v>78</v>
      </c>
      <c r="W128" s="5">
        <v>85</v>
      </c>
      <c r="X128" s="10">
        <f t="shared" si="11"/>
        <v>70.6</v>
      </c>
      <c r="Y128" s="5" t="s">
        <v>219</v>
      </c>
      <c r="Z128" s="5">
        <v>90</v>
      </c>
      <c r="AA128" s="5">
        <v>88</v>
      </c>
      <c r="AB128" s="5">
        <v>92</v>
      </c>
      <c r="AC128" s="5">
        <v>95</v>
      </c>
      <c r="AD128" s="5">
        <v>90</v>
      </c>
      <c r="AE128" s="10">
        <f t="shared" si="12"/>
        <v>91</v>
      </c>
      <c r="AF128" s="5" t="s">
        <v>219</v>
      </c>
      <c r="AG128" s="5">
        <v>85</v>
      </c>
      <c r="AH128" s="5">
        <v>65</v>
      </c>
      <c r="AI128" s="5">
        <v>88</v>
      </c>
      <c r="AJ128" s="5">
        <v>80</v>
      </c>
      <c r="AK128" s="5">
        <v>88</v>
      </c>
      <c r="AL128" s="10">
        <f t="shared" si="13"/>
        <v>81.2</v>
      </c>
    </row>
    <row r="129" s="5" customFormat="1" spans="1:38">
      <c r="A129" s="5" t="s">
        <v>220</v>
      </c>
      <c r="B129" s="6">
        <v>52.6</v>
      </c>
      <c r="C129" s="6">
        <v>46.6</v>
      </c>
      <c r="D129" s="6">
        <v>61.4</v>
      </c>
      <c r="E129" s="6">
        <v>56</v>
      </c>
      <c r="F129" s="6">
        <v>52.8</v>
      </c>
      <c r="G129">
        <f t="shared" si="17"/>
        <v>53.88</v>
      </c>
      <c r="H129">
        <f t="shared" si="18"/>
        <v>14.8</v>
      </c>
      <c r="I129" s="5">
        <f t="shared" si="10"/>
        <v>0</v>
      </c>
      <c r="J129" s="6">
        <v>45.2</v>
      </c>
      <c r="K129" s="5" t="s">
        <v>220</v>
      </c>
      <c r="L129" s="5">
        <v>40</v>
      </c>
      <c r="M129" s="5">
        <v>35</v>
      </c>
      <c r="N129" s="5">
        <v>50</v>
      </c>
      <c r="O129" s="5">
        <v>45</v>
      </c>
      <c r="P129" s="5">
        <v>42</v>
      </c>
      <c r="Q129" s="10">
        <f t="shared" si="19"/>
        <v>42.4</v>
      </c>
      <c r="R129" s="5" t="s">
        <v>220</v>
      </c>
      <c r="S129" s="5">
        <v>55</v>
      </c>
      <c r="T129" s="5">
        <v>50</v>
      </c>
      <c r="U129" s="5">
        <v>68</v>
      </c>
      <c r="V129" s="5">
        <v>62</v>
      </c>
      <c r="W129" s="5">
        <v>58</v>
      </c>
      <c r="X129" s="10">
        <f t="shared" si="11"/>
        <v>58.6</v>
      </c>
      <c r="Y129" s="5" t="s">
        <v>220</v>
      </c>
      <c r="Z129" s="5">
        <v>90</v>
      </c>
      <c r="AA129" s="5">
        <v>80</v>
      </c>
      <c r="AB129" s="5">
        <v>90</v>
      </c>
      <c r="AC129" s="5">
        <v>85</v>
      </c>
      <c r="AD129" s="5">
        <v>75</v>
      </c>
      <c r="AE129" s="10">
        <f t="shared" si="12"/>
        <v>84</v>
      </c>
      <c r="AF129" s="5" t="s">
        <v>220</v>
      </c>
      <c r="AG129" s="5">
        <v>85</v>
      </c>
      <c r="AH129" s="5">
        <v>75</v>
      </c>
      <c r="AI129" s="5">
        <v>88</v>
      </c>
      <c r="AJ129" s="5">
        <v>80</v>
      </c>
      <c r="AK129" s="5">
        <v>88</v>
      </c>
      <c r="AL129" s="10">
        <f t="shared" si="13"/>
        <v>83.2</v>
      </c>
    </row>
    <row r="130" s="5" customFormat="1" spans="1:38">
      <c r="A130" s="5" t="s">
        <v>221</v>
      </c>
      <c r="B130" s="6">
        <v>85.2</v>
      </c>
      <c r="C130" s="6">
        <v>86.2</v>
      </c>
      <c r="D130" s="6">
        <v>88.6</v>
      </c>
      <c r="E130" s="6">
        <v>79.8</v>
      </c>
      <c r="F130" s="6">
        <v>88.2</v>
      </c>
      <c r="G130">
        <f t="shared" si="17"/>
        <v>85.6</v>
      </c>
      <c r="H130">
        <f t="shared" si="18"/>
        <v>8.8</v>
      </c>
      <c r="I130" s="5">
        <f t="shared" si="10"/>
        <v>1</v>
      </c>
      <c r="J130" s="6">
        <v>69.2</v>
      </c>
      <c r="K130" s="5" t="s">
        <v>221</v>
      </c>
      <c r="L130" s="5">
        <v>85</v>
      </c>
      <c r="M130" s="5">
        <v>90</v>
      </c>
      <c r="N130" s="5">
        <v>90</v>
      </c>
      <c r="O130" s="5">
        <v>80</v>
      </c>
      <c r="P130" s="5">
        <v>90</v>
      </c>
      <c r="Q130" s="10">
        <f t="shared" si="19"/>
        <v>87</v>
      </c>
      <c r="R130" s="5" t="s">
        <v>221</v>
      </c>
      <c r="S130" s="5">
        <v>80</v>
      </c>
      <c r="T130" s="5">
        <v>72</v>
      </c>
      <c r="U130" s="5">
        <v>80</v>
      </c>
      <c r="V130" s="5">
        <v>68</v>
      </c>
      <c r="W130" s="5">
        <v>78</v>
      </c>
      <c r="X130" s="10">
        <f t="shared" si="11"/>
        <v>75.6</v>
      </c>
      <c r="Y130" s="5" t="s">
        <v>221</v>
      </c>
      <c r="Z130" s="5">
        <v>95</v>
      </c>
      <c r="AA130" s="5">
        <v>95</v>
      </c>
      <c r="AB130" s="5">
        <v>95</v>
      </c>
      <c r="AC130" s="5">
        <v>98</v>
      </c>
      <c r="AD130" s="5">
        <v>100</v>
      </c>
      <c r="AE130" s="10">
        <f t="shared" si="12"/>
        <v>96.6</v>
      </c>
      <c r="AF130" s="5" t="s">
        <v>221</v>
      </c>
      <c r="AG130" s="5">
        <v>85</v>
      </c>
      <c r="AH130" s="5">
        <v>80</v>
      </c>
      <c r="AI130" s="5">
        <v>90</v>
      </c>
      <c r="AJ130" s="5">
        <v>80</v>
      </c>
      <c r="AK130" s="5">
        <v>82</v>
      </c>
      <c r="AL130" s="10">
        <f t="shared" si="13"/>
        <v>83.4</v>
      </c>
    </row>
    <row r="131" s="5" customFormat="1" spans="1:38">
      <c r="A131" s="5" t="s">
        <v>222</v>
      </c>
      <c r="B131" s="6">
        <v>86.8</v>
      </c>
      <c r="C131" s="6">
        <v>87.6</v>
      </c>
      <c r="D131" s="6">
        <v>89.2</v>
      </c>
      <c r="E131" s="6">
        <v>85.8</v>
      </c>
      <c r="F131" s="6">
        <v>90.8</v>
      </c>
      <c r="G131">
        <f t="shared" si="17"/>
        <v>88.04</v>
      </c>
      <c r="H131">
        <f t="shared" si="18"/>
        <v>5</v>
      </c>
      <c r="I131" s="5">
        <f t="shared" si="10"/>
        <v>1</v>
      </c>
      <c r="J131" s="6">
        <v>74.2</v>
      </c>
      <c r="K131" s="5" t="s">
        <v>222</v>
      </c>
      <c r="L131" s="5">
        <v>88</v>
      </c>
      <c r="M131" s="5">
        <v>85</v>
      </c>
      <c r="N131" s="5">
        <v>90</v>
      </c>
      <c r="O131" s="5">
        <v>86</v>
      </c>
      <c r="P131" s="5">
        <v>92</v>
      </c>
      <c r="Q131" s="10">
        <f t="shared" si="19"/>
        <v>88.2</v>
      </c>
      <c r="R131" s="5" t="s">
        <v>222</v>
      </c>
      <c r="S131" s="5">
        <v>83</v>
      </c>
      <c r="T131" s="5">
        <v>88</v>
      </c>
      <c r="U131" s="5">
        <v>84</v>
      </c>
      <c r="V131" s="5">
        <v>82</v>
      </c>
      <c r="W131" s="5">
        <v>85</v>
      </c>
      <c r="X131" s="10">
        <f t="shared" si="11"/>
        <v>84.4</v>
      </c>
      <c r="Y131" s="5" t="s">
        <v>222</v>
      </c>
      <c r="Z131" s="5">
        <v>95</v>
      </c>
      <c r="AA131" s="5">
        <v>98</v>
      </c>
      <c r="AB131" s="5">
        <v>100</v>
      </c>
      <c r="AC131" s="5">
        <v>98</v>
      </c>
      <c r="AD131" s="5">
        <v>95</v>
      </c>
      <c r="AE131" s="10">
        <f t="shared" si="12"/>
        <v>97.2</v>
      </c>
      <c r="AF131" s="5" t="s">
        <v>222</v>
      </c>
      <c r="AG131" s="5">
        <v>75</v>
      </c>
      <c r="AH131" s="5">
        <v>90</v>
      </c>
      <c r="AI131" s="5">
        <v>80</v>
      </c>
      <c r="AJ131" s="5">
        <v>75</v>
      </c>
      <c r="AK131" s="5">
        <v>90</v>
      </c>
      <c r="AL131" s="10">
        <f t="shared" si="13"/>
        <v>82</v>
      </c>
    </row>
    <row r="132" s="5" customFormat="1" spans="1:38">
      <c r="A132" s="5" t="s">
        <v>223</v>
      </c>
      <c r="B132" s="6">
        <v>81</v>
      </c>
      <c r="C132" s="6">
        <v>85.8</v>
      </c>
      <c r="D132" s="6">
        <v>73.2</v>
      </c>
      <c r="E132" s="6">
        <v>73.2</v>
      </c>
      <c r="F132" s="6">
        <v>86.6</v>
      </c>
      <c r="G132">
        <f t="shared" si="17"/>
        <v>79.96</v>
      </c>
      <c r="H132">
        <f t="shared" si="18"/>
        <v>13.4</v>
      </c>
      <c r="I132" s="5">
        <f t="shared" si="10"/>
        <v>1</v>
      </c>
      <c r="J132" s="6">
        <v>81.2</v>
      </c>
      <c r="K132" s="5" t="s">
        <v>223</v>
      </c>
      <c r="L132" s="5">
        <v>84</v>
      </c>
      <c r="M132" s="5">
        <v>88</v>
      </c>
      <c r="N132" s="5">
        <v>74</v>
      </c>
      <c r="O132" s="5">
        <v>78</v>
      </c>
      <c r="P132" s="5">
        <v>88</v>
      </c>
      <c r="Q132" s="10">
        <f t="shared" si="19"/>
        <v>82.4</v>
      </c>
      <c r="R132" s="5" t="s">
        <v>223</v>
      </c>
      <c r="S132" s="5">
        <v>65</v>
      </c>
      <c r="T132" s="5">
        <v>70</v>
      </c>
      <c r="U132" s="5">
        <v>55</v>
      </c>
      <c r="V132" s="5">
        <v>45</v>
      </c>
      <c r="W132" s="5">
        <v>76</v>
      </c>
      <c r="X132" s="10">
        <f t="shared" si="11"/>
        <v>62.2</v>
      </c>
      <c r="Y132" s="5" t="s">
        <v>223</v>
      </c>
      <c r="Z132" s="5">
        <v>95</v>
      </c>
      <c r="AA132" s="5">
        <v>98</v>
      </c>
      <c r="AB132" s="5">
        <v>98</v>
      </c>
      <c r="AC132" s="5">
        <v>98</v>
      </c>
      <c r="AD132" s="5">
        <v>95</v>
      </c>
      <c r="AE132" s="10">
        <f t="shared" si="12"/>
        <v>96.8</v>
      </c>
      <c r="AF132" s="5" t="s">
        <v>223</v>
      </c>
      <c r="AG132" s="5">
        <v>78</v>
      </c>
      <c r="AH132" s="5">
        <v>90</v>
      </c>
      <c r="AI132" s="5">
        <v>75</v>
      </c>
      <c r="AJ132" s="5">
        <v>70</v>
      </c>
      <c r="AK132" s="5">
        <v>90</v>
      </c>
      <c r="AL132" s="10">
        <f t="shared" si="13"/>
        <v>80.6</v>
      </c>
    </row>
    <row r="133" s="5" customFormat="1" spans="1:38">
      <c r="A133" s="5" t="s">
        <v>224</v>
      </c>
      <c r="B133" s="6">
        <v>88.4</v>
      </c>
      <c r="C133" s="6">
        <v>88.2</v>
      </c>
      <c r="D133" s="6">
        <v>89.4</v>
      </c>
      <c r="E133" s="6">
        <v>87</v>
      </c>
      <c r="F133" s="6">
        <v>93</v>
      </c>
      <c r="G133">
        <f t="shared" si="17"/>
        <v>89.2</v>
      </c>
      <c r="H133">
        <f t="shared" si="18"/>
        <v>6</v>
      </c>
      <c r="I133" s="5">
        <f t="shared" ref="I133:I184" si="20">IF(AND(B133&gt;=60,C133&gt;=60,D133&gt;=60,E133&gt;=60,F133&gt;=60),1,IF(AND(B133&lt;60,C133&lt;60,D133&lt;60,E133&lt;60,F133&lt;60),1,0))</f>
        <v>1</v>
      </c>
      <c r="J133" s="6">
        <v>80.6</v>
      </c>
      <c r="K133" s="5" t="s">
        <v>224</v>
      </c>
      <c r="L133" s="5">
        <v>90</v>
      </c>
      <c r="M133" s="5">
        <v>88</v>
      </c>
      <c r="N133" s="5">
        <v>90</v>
      </c>
      <c r="O133" s="5">
        <v>88</v>
      </c>
      <c r="P133" s="5">
        <v>95</v>
      </c>
      <c r="Q133" s="10">
        <f t="shared" si="19"/>
        <v>90.2</v>
      </c>
      <c r="R133" s="5" t="s">
        <v>224</v>
      </c>
      <c r="S133" s="5">
        <v>88</v>
      </c>
      <c r="T133" s="5">
        <v>90</v>
      </c>
      <c r="U133" s="5">
        <v>88</v>
      </c>
      <c r="V133" s="5">
        <v>85</v>
      </c>
      <c r="W133" s="5">
        <v>90</v>
      </c>
      <c r="X133" s="10">
        <f t="shared" ref="X133:X184" si="21">AVERAGE(S133:W133)</f>
        <v>88.2</v>
      </c>
      <c r="Y133" s="5" t="s">
        <v>224</v>
      </c>
      <c r="Z133" s="5">
        <v>90</v>
      </c>
      <c r="AA133" s="5">
        <v>85</v>
      </c>
      <c r="AB133" s="5">
        <v>92</v>
      </c>
      <c r="AC133" s="5">
        <v>90</v>
      </c>
      <c r="AD133" s="5">
        <v>90</v>
      </c>
      <c r="AE133" s="10">
        <f t="shared" ref="AE133:AE184" si="22">AVERAGE(Z133:AD133)</f>
        <v>89.4</v>
      </c>
      <c r="AF133" s="5" t="s">
        <v>224</v>
      </c>
      <c r="AG133" s="5">
        <v>75</v>
      </c>
      <c r="AH133" s="5">
        <v>90</v>
      </c>
      <c r="AI133" s="5">
        <v>85</v>
      </c>
      <c r="AJ133" s="5">
        <v>80</v>
      </c>
      <c r="AK133" s="5">
        <v>90</v>
      </c>
      <c r="AL133" s="10">
        <f t="shared" ref="AL133:AL184" si="23">AVERAGE(AG133:AK133)</f>
        <v>84</v>
      </c>
    </row>
    <row r="134" s="5" customFormat="1" spans="1:38">
      <c r="A134" s="5" t="s">
        <v>225</v>
      </c>
      <c r="B134" s="6">
        <v>45.6</v>
      </c>
      <c r="C134" s="6">
        <v>39.8</v>
      </c>
      <c r="D134" s="6">
        <v>43.6</v>
      </c>
      <c r="E134" s="6">
        <v>26.6</v>
      </c>
      <c r="F134" s="6">
        <v>40.2</v>
      </c>
      <c r="G134">
        <f t="shared" ref="G134:G165" si="24">AVERAGE(B134:F134)</f>
        <v>39.16</v>
      </c>
      <c r="H134">
        <f t="shared" ref="H134:H165" si="25">MAX(B134:F134)-MIN(B134:F134)</f>
        <v>19</v>
      </c>
      <c r="I134" s="5">
        <f t="shared" si="20"/>
        <v>1</v>
      </c>
      <c r="J134" s="6">
        <v>40.4</v>
      </c>
      <c r="K134" s="5" t="s">
        <v>225</v>
      </c>
      <c r="L134" s="5">
        <v>40</v>
      </c>
      <c r="M134" s="5">
        <v>30</v>
      </c>
      <c r="N134" s="5">
        <v>38</v>
      </c>
      <c r="O134" s="5">
        <v>20</v>
      </c>
      <c r="P134" s="5">
        <v>30</v>
      </c>
      <c r="Q134" s="10">
        <f t="shared" ref="Q134:Q165" si="26">AVERAGE(L134:P134)</f>
        <v>31.6</v>
      </c>
      <c r="R134" s="5" t="s">
        <v>225</v>
      </c>
      <c r="S134" s="5">
        <v>40</v>
      </c>
      <c r="T134" s="5">
        <v>40</v>
      </c>
      <c r="U134" s="5">
        <v>40</v>
      </c>
      <c r="V134" s="5">
        <v>30</v>
      </c>
      <c r="W134" s="5">
        <v>35</v>
      </c>
      <c r="X134" s="10">
        <f t="shared" si="21"/>
        <v>37</v>
      </c>
      <c r="Y134" s="5" t="s">
        <v>225</v>
      </c>
      <c r="Z134" s="5">
        <v>90</v>
      </c>
      <c r="AA134" s="5">
        <v>85</v>
      </c>
      <c r="AB134" s="5">
        <v>80</v>
      </c>
      <c r="AC134" s="5">
        <v>55</v>
      </c>
      <c r="AD134" s="5">
        <v>90</v>
      </c>
      <c r="AE134" s="10">
        <f t="shared" si="22"/>
        <v>80</v>
      </c>
      <c r="AF134" s="5" t="s">
        <v>225</v>
      </c>
      <c r="AG134" s="5">
        <v>35</v>
      </c>
      <c r="AH134" s="5">
        <v>45</v>
      </c>
      <c r="AI134" s="5">
        <v>40</v>
      </c>
      <c r="AJ134" s="5">
        <v>25</v>
      </c>
      <c r="AK134" s="5">
        <v>55</v>
      </c>
      <c r="AL134" s="10">
        <f t="shared" si="23"/>
        <v>40</v>
      </c>
    </row>
    <row r="135" s="5" customFormat="1" spans="1:38">
      <c r="A135" s="5" t="s">
        <v>226</v>
      </c>
      <c r="B135" s="6">
        <v>81.2</v>
      </c>
      <c r="C135" s="6">
        <v>82.8</v>
      </c>
      <c r="D135" s="6">
        <v>74.7</v>
      </c>
      <c r="E135" s="6">
        <v>78</v>
      </c>
      <c r="F135" s="6">
        <v>90.4</v>
      </c>
      <c r="G135">
        <f t="shared" si="24"/>
        <v>81.42</v>
      </c>
      <c r="H135">
        <f t="shared" si="25"/>
        <v>15.7</v>
      </c>
      <c r="I135" s="5">
        <f t="shared" si="20"/>
        <v>1</v>
      </c>
      <c r="J135" s="6">
        <v>75.4</v>
      </c>
      <c r="K135" s="5" t="s">
        <v>226</v>
      </c>
      <c r="L135" s="5">
        <v>84</v>
      </c>
      <c r="M135" s="5">
        <v>85</v>
      </c>
      <c r="N135" s="5">
        <v>74</v>
      </c>
      <c r="O135" s="5">
        <v>82</v>
      </c>
      <c r="P135" s="5">
        <v>92</v>
      </c>
      <c r="Q135" s="10">
        <f t="shared" si="26"/>
        <v>83.4</v>
      </c>
      <c r="R135" s="5" t="s">
        <v>226</v>
      </c>
      <c r="S135" s="5">
        <v>70</v>
      </c>
      <c r="T135" s="5">
        <v>72</v>
      </c>
      <c r="U135" s="5">
        <v>65</v>
      </c>
      <c r="V135" s="5">
        <v>60</v>
      </c>
      <c r="W135" s="5">
        <v>86</v>
      </c>
      <c r="X135" s="10">
        <f t="shared" si="21"/>
        <v>70.6</v>
      </c>
      <c r="Y135" s="5" t="s">
        <v>226</v>
      </c>
      <c r="Z135" s="5">
        <v>90</v>
      </c>
      <c r="AA135" s="5">
        <v>85</v>
      </c>
      <c r="AB135" s="5">
        <v>92</v>
      </c>
      <c r="AC135" s="5">
        <v>90</v>
      </c>
      <c r="AD135" s="5">
        <v>90</v>
      </c>
      <c r="AE135" s="10">
        <f t="shared" si="22"/>
        <v>89.4</v>
      </c>
      <c r="AF135" s="5" t="s">
        <v>226</v>
      </c>
      <c r="AG135" s="5">
        <v>75</v>
      </c>
      <c r="AH135" s="5">
        <v>90</v>
      </c>
      <c r="AI135" s="5">
        <v>78</v>
      </c>
      <c r="AJ135" s="5">
        <v>75</v>
      </c>
      <c r="AK135" s="5">
        <v>90</v>
      </c>
      <c r="AL135" s="10">
        <f t="shared" si="23"/>
        <v>81.6</v>
      </c>
    </row>
    <row r="136" s="5" customFormat="1" spans="1:38">
      <c r="A136" s="5" t="s">
        <v>227</v>
      </c>
      <c r="B136" s="6">
        <v>86.8</v>
      </c>
      <c r="C136" s="6">
        <v>88.6</v>
      </c>
      <c r="D136" s="6">
        <v>89</v>
      </c>
      <c r="E136" s="6">
        <v>80.6</v>
      </c>
      <c r="F136" s="6">
        <v>90.2</v>
      </c>
      <c r="G136">
        <f t="shared" si="24"/>
        <v>87.04</v>
      </c>
      <c r="H136">
        <f t="shared" si="25"/>
        <v>9.60000000000001</v>
      </c>
      <c r="I136" s="5">
        <f t="shared" si="20"/>
        <v>1</v>
      </c>
      <c r="J136" s="6">
        <v>76.2</v>
      </c>
      <c r="K136" s="5" t="s">
        <v>227</v>
      </c>
      <c r="L136" s="5">
        <v>92</v>
      </c>
      <c r="M136" s="5">
        <v>92</v>
      </c>
      <c r="N136" s="5">
        <v>92</v>
      </c>
      <c r="O136" s="5">
        <v>85</v>
      </c>
      <c r="P136" s="5">
        <v>92</v>
      </c>
      <c r="Q136" s="10">
        <f t="shared" si="26"/>
        <v>90.6</v>
      </c>
      <c r="R136" s="5" t="s">
        <v>227</v>
      </c>
      <c r="S136" s="5">
        <v>76</v>
      </c>
      <c r="T136" s="5">
        <v>80</v>
      </c>
      <c r="U136" s="5">
        <v>84</v>
      </c>
      <c r="V136" s="5">
        <v>75</v>
      </c>
      <c r="W136" s="5">
        <v>85</v>
      </c>
      <c r="X136" s="10">
        <f t="shared" si="21"/>
        <v>80</v>
      </c>
      <c r="Y136" s="5" t="s">
        <v>227</v>
      </c>
      <c r="Z136" s="5">
        <v>85</v>
      </c>
      <c r="AA136" s="5">
        <v>85</v>
      </c>
      <c r="AB136" s="5">
        <v>85</v>
      </c>
      <c r="AC136" s="5">
        <v>70</v>
      </c>
      <c r="AD136" s="5">
        <v>90</v>
      </c>
      <c r="AE136" s="10">
        <f t="shared" si="22"/>
        <v>83</v>
      </c>
      <c r="AF136" s="5" t="s">
        <v>227</v>
      </c>
      <c r="AG136" s="5">
        <v>78</v>
      </c>
      <c r="AH136" s="5">
        <v>90</v>
      </c>
      <c r="AI136" s="5">
        <v>85</v>
      </c>
      <c r="AJ136" s="5">
        <v>78</v>
      </c>
      <c r="AK136" s="5">
        <v>90</v>
      </c>
      <c r="AL136" s="10">
        <f t="shared" si="23"/>
        <v>84.2</v>
      </c>
    </row>
    <row r="137" s="5" customFormat="1" spans="1:38">
      <c r="A137" s="5" t="s">
        <v>228</v>
      </c>
      <c r="B137" s="6">
        <v>87.6</v>
      </c>
      <c r="C137" s="6">
        <v>85.4</v>
      </c>
      <c r="D137" s="6">
        <v>88.2</v>
      </c>
      <c r="E137" s="6">
        <v>84.6</v>
      </c>
      <c r="F137" s="6">
        <v>90.4</v>
      </c>
      <c r="G137">
        <f t="shared" si="24"/>
        <v>87.24</v>
      </c>
      <c r="H137">
        <f t="shared" si="25"/>
        <v>5.80000000000001</v>
      </c>
      <c r="I137" s="5">
        <f t="shared" si="20"/>
        <v>1</v>
      </c>
      <c r="J137" s="6">
        <v>76.4</v>
      </c>
      <c r="K137" s="5" t="s">
        <v>228</v>
      </c>
      <c r="L137" s="5">
        <v>90</v>
      </c>
      <c r="M137" s="5">
        <v>86</v>
      </c>
      <c r="N137" s="5">
        <v>90</v>
      </c>
      <c r="O137" s="5">
        <v>86</v>
      </c>
      <c r="P137" s="5">
        <v>92</v>
      </c>
      <c r="Q137" s="10">
        <f t="shared" si="26"/>
        <v>88.8</v>
      </c>
      <c r="R137" s="5" t="s">
        <v>228</v>
      </c>
      <c r="S137" s="5">
        <v>84</v>
      </c>
      <c r="T137" s="5">
        <v>82</v>
      </c>
      <c r="U137" s="5">
        <v>82</v>
      </c>
      <c r="V137" s="5">
        <v>80</v>
      </c>
      <c r="W137" s="5">
        <v>86</v>
      </c>
      <c r="X137" s="10">
        <f t="shared" si="21"/>
        <v>82.8</v>
      </c>
      <c r="Y137" s="5" t="s">
        <v>228</v>
      </c>
      <c r="Z137" s="5">
        <v>90</v>
      </c>
      <c r="AA137" s="5">
        <v>85</v>
      </c>
      <c r="AB137" s="5">
        <v>92</v>
      </c>
      <c r="AC137" s="5">
        <v>90</v>
      </c>
      <c r="AD137" s="5">
        <v>90</v>
      </c>
      <c r="AE137" s="10">
        <f t="shared" si="22"/>
        <v>89.4</v>
      </c>
      <c r="AF137" s="5" t="s">
        <v>228</v>
      </c>
      <c r="AG137" s="5">
        <v>75</v>
      </c>
      <c r="AH137" s="5">
        <v>90</v>
      </c>
      <c r="AI137" s="5">
        <v>85</v>
      </c>
      <c r="AJ137" s="5">
        <v>78</v>
      </c>
      <c r="AK137" s="5">
        <v>90</v>
      </c>
      <c r="AL137" s="10">
        <f t="shared" si="23"/>
        <v>83.6</v>
      </c>
    </row>
    <row r="138" s="5" customFormat="1" spans="1:38">
      <c r="A138" s="5" t="s">
        <v>229</v>
      </c>
      <c r="B138" s="6">
        <v>84.2</v>
      </c>
      <c r="C138" s="6">
        <v>81.4</v>
      </c>
      <c r="D138" s="6">
        <v>89</v>
      </c>
      <c r="E138" s="6">
        <v>75.6</v>
      </c>
      <c r="F138" s="6">
        <v>89.4</v>
      </c>
      <c r="G138">
        <f t="shared" si="24"/>
        <v>83.92</v>
      </c>
      <c r="H138">
        <f t="shared" si="25"/>
        <v>13.8</v>
      </c>
      <c r="I138" s="5">
        <f t="shared" si="20"/>
        <v>1</v>
      </c>
      <c r="J138" s="6">
        <v>69.2</v>
      </c>
      <c r="K138" s="5" t="s">
        <v>229</v>
      </c>
      <c r="L138" s="5">
        <v>88</v>
      </c>
      <c r="M138" s="5">
        <v>78</v>
      </c>
      <c r="N138" s="5">
        <v>90</v>
      </c>
      <c r="O138" s="5">
        <v>82</v>
      </c>
      <c r="P138" s="5">
        <v>90</v>
      </c>
      <c r="Q138" s="10">
        <f t="shared" si="26"/>
        <v>85.6</v>
      </c>
      <c r="R138" s="5" t="s">
        <v>229</v>
      </c>
      <c r="S138" s="5">
        <v>70</v>
      </c>
      <c r="T138" s="5">
        <v>78</v>
      </c>
      <c r="U138" s="5">
        <v>82</v>
      </c>
      <c r="V138" s="5">
        <v>45</v>
      </c>
      <c r="W138" s="5">
        <v>84</v>
      </c>
      <c r="X138" s="10">
        <f t="shared" si="21"/>
        <v>71.8</v>
      </c>
      <c r="Y138" s="5" t="s">
        <v>229</v>
      </c>
      <c r="Z138" s="5">
        <v>95</v>
      </c>
      <c r="AA138" s="5">
        <v>98</v>
      </c>
      <c r="AB138" s="5">
        <v>100</v>
      </c>
      <c r="AC138" s="5">
        <v>98</v>
      </c>
      <c r="AD138" s="5">
        <v>95</v>
      </c>
      <c r="AE138" s="10">
        <f t="shared" si="22"/>
        <v>97.2</v>
      </c>
      <c r="AF138" s="5" t="s">
        <v>229</v>
      </c>
      <c r="AG138" s="5">
        <v>75</v>
      </c>
      <c r="AH138" s="5">
        <v>90</v>
      </c>
      <c r="AI138" s="5">
        <v>82</v>
      </c>
      <c r="AJ138" s="5">
        <v>70</v>
      </c>
      <c r="AK138" s="5">
        <v>90</v>
      </c>
      <c r="AL138" s="10">
        <f t="shared" si="23"/>
        <v>81.4</v>
      </c>
    </row>
    <row r="139" s="5" customFormat="1" spans="1:38">
      <c r="A139" s="5" t="s">
        <v>230</v>
      </c>
      <c r="B139" s="6">
        <v>84.2</v>
      </c>
      <c r="C139" s="6">
        <v>81.4</v>
      </c>
      <c r="D139" s="6">
        <v>88.6</v>
      </c>
      <c r="E139" s="6">
        <v>75.6</v>
      </c>
      <c r="F139" s="6">
        <v>89.4</v>
      </c>
      <c r="G139">
        <f t="shared" si="24"/>
        <v>83.84</v>
      </c>
      <c r="H139">
        <f t="shared" si="25"/>
        <v>13.8</v>
      </c>
      <c r="I139" s="5">
        <f t="shared" si="20"/>
        <v>1</v>
      </c>
      <c r="J139" s="6">
        <v>57.6</v>
      </c>
      <c r="K139" s="5" t="s">
        <v>230</v>
      </c>
      <c r="L139" s="5">
        <v>88</v>
      </c>
      <c r="M139" s="5">
        <v>78</v>
      </c>
      <c r="N139" s="5">
        <v>90</v>
      </c>
      <c r="O139" s="5">
        <v>82</v>
      </c>
      <c r="P139" s="5">
        <v>90</v>
      </c>
      <c r="Q139" s="10">
        <f t="shared" si="26"/>
        <v>85.6</v>
      </c>
      <c r="R139" s="5" t="s">
        <v>230</v>
      </c>
      <c r="S139" s="5">
        <v>70</v>
      </c>
      <c r="T139" s="5">
        <v>78</v>
      </c>
      <c r="U139" s="5">
        <v>80</v>
      </c>
      <c r="V139" s="5">
        <v>45</v>
      </c>
      <c r="W139" s="5">
        <v>84</v>
      </c>
      <c r="X139" s="10">
        <f t="shared" si="21"/>
        <v>71.4</v>
      </c>
      <c r="Y139" s="5" t="s">
        <v>230</v>
      </c>
      <c r="Z139" s="5">
        <v>95</v>
      </c>
      <c r="AA139" s="5">
        <v>98</v>
      </c>
      <c r="AB139" s="5">
        <v>100</v>
      </c>
      <c r="AC139" s="5">
        <v>98</v>
      </c>
      <c r="AD139" s="5">
        <v>95</v>
      </c>
      <c r="AE139" s="10">
        <f t="shared" si="22"/>
        <v>97.2</v>
      </c>
      <c r="AF139" s="5" t="s">
        <v>230</v>
      </c>
      <c r="AG139" s="5">
        <v>75</v>
      </c>
      <c r="AH139" s="5">
        <v>90</v>
      </c>
      <c r="AI139" s="5">
        <v>82</v>
      </c>
      <c r="AJ139" s="5">
        <v>70</v>
      </c>
      <c r="AK139" s="5">
        <v>90</v>
      </c>
      <c r="AL139" s="10">
        <f t="shared" si="23"/>
        <v>81.4</v>
      </c>
    </row>
    <row r="140" s="5" customFormat="1" spans="1:38">
      <c r="A140" s="5" t="s">
        <v>231</v>
      </c>
      <c r="B140" s="6">
        <v>86.4</v>
      </c>
      <c r="C140" s="6">
        <v>84.2</v>
      </c>
      <c r="D140" s="6">
        <v>87.8</v>
      </c>
      <c r="E140" s="6">
        <v>74</v>
      </c>
      <c r="F140" s="6">
        <v>88.4</v>
      </c>
      <c r="G140">
        <f t="shared" si="24"/>
        <v>84.16</v>
      </c>
      <c r="H140">
        <f t="shared" si="25"/>
        <v>14.4</v>
      </c>
      <c r="I140" s="5">
        <f t="shared" si="20"/>
        <v>1</v>
      </c>
      <c r="J140" s="6">
        <v>72.4</v>
      </c>
      <c r="K140" s="5" t="s">
        <v>231</v>
      </c>
      <c r="L140" s="5">
        <v>90</v>
      </c>
      <c r="M140" s="5">
        <v>86</v>
      </c>
      <c r="N140" s="5">
        <v>90</v>
      </c>
      <c r="O140" s="5">
        <v>80</v>
      </c>
      <c r="P140" s="5">
        <v>90</v>
      </c>
      <c r="Q140" s="10">
        <f t="shared" si="26"/>
        <v>87.2</v>
      </c>
      <c r="R140" s="5" t="s">
        <v>231</v>
      </c>
      <c r="S140" s="5">
        <v>78</v>
      </c>
      <c r="T140" s="5">
        <v>76</v>
      </c>
      <c r="U140" s="5">
        <v>80</v>
      </c>
      <c r="V140" s="5">
        <v>48</v>
      </c>
      <c r="W140" s="5">
        <v>82</v>
      </c>
      <c r="X140" s="10">
        <f t="shared" si="21"/>
        <v>72.8</v>
      </c>
      <c r="Y140" s="5" t="s">
        <v>231</v>
      </c>
      <c r="Z140" s="5">
        <v>90</v>
      </c>
      <c r="AA140" s="5">
        <v>85</v>
      </c>
      <c r="AB140" s="5">
        <v>92</v>
      </c>
      <c r="AC140" s="5">
        <v>90</v>
      </c>
      <c r="AD140" s="5">
        <v>90</v>
      </c>
      <c r="AE140" s="10">
        <f t="shared" si="22"/>
        <v>89.4</v>
      </c>
      <c r="AF140" s="5" t="s">
        <v>231</v>
      </c>
      <c r="AG140" s="5">
        <v>75</v>
      </c>
      <c r="AH140" s="5">
        <v>90</v>
      </c>
      <c r="AI140" s="5">
        <v>85</v>
      </c>
      <c r="AJ140" s="5">
        <v>70</v>
      </c>
      <c r="AK140" s="5">
        <v>90</v>
      </c>
      <c r="AL140" s="10">
        <f t="shared" si="23"/>
        <v>82</v>
      </c>
    </row>
    <row r="141" s="5" customFormat="1" spans="1:38">
      <c r="A141" s="5" t="s">
        <v>232</v>
      </c>
      <c r="B141" s="6">
        <v>81.4</v>
      </c>
      <c r="C141" s="6">
        <v>72.6</v>
      </c>
      <c r="D141" s="6">
        <v>64.2</v>
      </c>
      <c r="E141" s="6">
        <v>67</v>
      </c>
      <c r="F141" s="6">
        <v>82.2</v>
      </c>
      <c r="G141">
        <f t="shared" si="24"/>
        <v>73.48</v>
      </c>
      <c r="H141">
        <f t="shared" si="25"/>
        <v>18</v>
      </c>
      <c r="I141" s="5">
        <f t="shared" si="20"/>
        <v>1</v>
      </c>
      <c r="J141" s="6">
        <v>69.2</v>
      </c>
      <c r="K141" s="5" t="s">
        <v>232</v>
      </c>
      <c r="L141" s="5">
        <v>80</v>
      </c>
      <c r="M141" s="5">
        <v>62</v>
      </c>
      <c r="N141" s="5">
        <v>55</v>
      </c>
      <c r="O141" s="5">
        <v>55</v>
      </c>
      <c r="P141" s="5">
        <v>78</v>
      </c>
      <c r="Q141" s="10">
        <f t="shared" si="26"/>
        <v>66</v>
      </c>
      <c r="R141" s="5" t="s">
        <v>232</v>
      </c>
      <c r="S141" s="5">
        <v>80</v>
      </c>
      <c r="T141" s="5">
        <v>82</v>
      </c>
      <c r="U141" s="5">
        <v>70</v>
      </c>
      <c r="V141" s="5">
        <v>80</v>
      </c>
      <c r="W141" s="5">
        <v>84</v>
      </c>
      <c r="X141" s="10">
        <f t="shared" si="21"/>
        <v>79.2</v>
      </c>
      <c r="Y141" s="5" t="s">
        <v>232</v>
      </c>
      <c r="Z141" s="5">
        <v>95</v>
      </c>
      <c r="AA141" s="5">
        <v>98</v>
      </c>
      <c r="AB141" s="5">
        <v>95</v>
      </c>
      <c r="AC141" s="5">
        <v>98</v>
      </c>
      <c r="AD141" s="5">
        <v>95</v>
      </c>
      <c r="AE141" s="10">
        <f t="shared" si="22"/>
        <v>96.2</v>
      </c>
      <c r="AF141" s="5" t="s">
        <v>232</v>
      </c>
      <c r="AG141" s="5">
        <v>75</v>
      </c>
      <c r="AH141" s="5">
        <v>90</v>
      </c>
      <c r="AI141" s="5">
        <v>72</v>
      </c>
      <c r="AJ141" s="5">
        <v>78</v>
      </c>
      <c r="AK141" s="5">
        <v>90</v>
      </c>
      <c r="AL141" s="10">
        <f t="shared" si="23"/>
        <v>81</v>
      </c>
    </row>
    <row r="142" s="5" customFormat="1" spans="1:38">
      <c r="A142" s="5" t="s">
        <v>233</v>
      </c>
      <c r="B142" s="6">
        <v>66.4</v>
      </c>
      <c r="C142" s="6">
        <v>53</v>
      </c>
      <c r="D142" s="6">
        <v>68.6</v>
      </c>
      <c r="E142" s="6">
        <v>67.2</v>
      </c>
      <c r="F142" s="6">
        <v>73.6</v>
      </c>
      <c r="G142">
        <f t="shared" si="24"/>
        <v>65.76</v>
      </c>
      <c r="H142">
        <f t="shared" si="25"/>
        <v>20.6</v>
      </c>
      <c r="I142" s="5">
        <f t="shared" si="20"/>
        <v>0</v>
      </c>
      <c r="J142" s="6">
        <v>49.6</v>
      </c>
      <c r="K142" s="5" t="s">
        <v>233</v>
      </c>
      <c r="L142" s="5">
        <v>60</v>
      </c>
      <c r="M142" s="5">
        <v>40</v>
      </c>
      <c r="N142" s="5">
        <v>65</v>
      </c>
      <c r="O142" s="5">
        <v>55</v>
      </c>
      <c r="P142" s="5">
        <v>75</v>
      </c>
      <c r="Q142" s="10">
        <f t="shared" si="26"/>
        <v>59</v>
      </c>
      <c r="R142" s="5" t="s">
        <v>233</v>
      </c>
      <c r="S142" s="5">
        <v>65</v>
      </c>
      <c r="T142" s="5">
        <v>50</v>
      </c>
      <c r="U142" s="5">
        <v>55</v>
      </c>
      <c r="V142" s="5">
        <v>78</v>
      </c>
      <c r="W142" s="5">
        <v>50</v>
      </c>
      <c r="X142" s="10">
        <f t="shared" si="21"/>
        <v>59.6</v>
      </c>
      <c r="Y142" s="5" t="s">
        <v>233</v>
      </c>
      <c r="Z142" s="5">
        <v>95</v>
      </c>
      <c r="AA142" s="5">
        <v>98</v>
      </c>
      <c r="AB142" s="5">
        <v>100</v>
      </c>
      <c r="AC142" s="5">
        <v>98</v>
      </c>
      <c r="AD142" s="5">
        <v>95</v>
      </c>
      <c r="AE142" s="10">
        <f t="shared" si="22"/>
        <v>97.2</v>
      </c>
      <c r="AF142" s="5" t="s">
        <v>233</v>
      </c>
      <c r="AG142" s="5">
        <v>75</v>
      </c>
      <c r="AH142" s="5">
        <v>90</v>
      </c>
      <c r="AI142" s="5">
        <v>82</v>
      </c>
      <c r="AJ142" s="5">
        <v>85</v>
      </c>
      <c r="AK142" s="5">
        <v>90</v>
      </c>
      <c r="AL142" s="10">
        <f t="shared" si="23"/>
        <v>84.4</v>
      </c>
    </row>
    <row r="143" s="5" customFormat="1" spans="1:38">
      <c r="A143" s="5" t="s">
        <v>234</v>
      </c>
      <c r="B143" s="6">
        <v>89.2</v>
      </c>
      <c r="C143" s="6">
        <v>90.6</v>
      </c>
      <c r="D143" s="6">
        <v>90.4</v>
      </c>
      <c r="E143" s="6">
        <v>86.6</v>
      </c>
      <c r="F143" s="6">
        <v>90.8</v>
      </c>
      <c r="G143">
        <f t="shared" si="24"/>
        <v>89.52</v>
      </c>
      <c r="H143">
        <f t="shared" si="25"/>
        <v>4.2</v>
      </c>
      <c r="I143" s="5">
        <f t="shared" si="20"/>
        <v>1</v>
      </c>
      <c r="J143" s="6">
        <v>81.2</v>
      </c>
      <c r="K143" s="5" t="s">
        <v>234</v>
      </c>
      <c r="L143" s="5">
        <v>92</v>
      </c>
      <c r="M143" s="5">
        <v>92</v>
      </c>
      <c r="N143" s="5">
        <v>92</v>
      </c>
      <c r="O143" s="5">
        <v>88</v>
      </c>
      <c r="P143" s="5">
        <v>92</v>
      </c>
      <c r="Q143" s="10">
        <f t="shared" si="26"/>
        <v>91.2</v>
      </c>
      <c r="R143" s="5" t="s">
        <v>234</v>
      </c>
      <c r="S143" s="5">
        <v>82</v>
      </c>
      <c r="T143" s="5">
        <v>82</v>
      </c>
      <c r="U143" s="5">
        <v>83</v>
      </c>
      <c r="V143" s="5">
        <v>78</v>
      </c>
      <c r="W143" s="5">
        <v>85</v>
      </c>
      <c r="X143" s="10">
        <f t="shared" si="21"/>
        <v>82</v>
      </c>
      <c r="Y143" s="5" t="s">
        <v>234</v>
      </c>
      <c r="Z143" s="5">
        <v>95</v>
      </c>
      <c r="AA143" s="5">
        <v>98</v>
      </c>
      <c r="AB143" s="5">
        <v>100</v>
      </c>
      <c r="AC143" s="5">
        <v>98</v>
      </c>
      <c r="AD143" s="5">
        <v>95</v>
      </c>
      <c r="AE143" s="10">
        <f t="shared" si="22"/>
        <v>97.2</v>
      </c>
      <c r="AF143" s="5" t="s">
        <v>234</v>
      </c>
      <c r="AG143" s="5">
        <v>78</v>
      </c>
      <c r="AH143" s="5">
        <v>90</v>
      </c>
      <c r="AI143" s="5">
        <v>82</v>
      </c>
      <c r="AJ143" s="5">
        <v>80</v>
      </c>
      <c r="AK143" s="5">
        <v>90</v>
      </c>
      <c r="AL143" s="10">
        <f t="shared" si="23"/>
        <v>84</v>
      </c>
    </row>
    <row r="144" s="5" customFormat="1" spans="1:38">
      <c r="A144" s="5" t="s">
        <v>235</v>
      </c>
      <c r="B144" s="6">
        <v>90.6</v>
      </c>
      <c r="C144" s="6">
        <v>91.4</v>
      </c>
      <c r="D144" s="6">
        <v>91.4</v>
      </c>
      <c r="E144" s="6">
        <v>90.4</v>
      </c>
      <c r="F144" s="6">
        <v>90.6</v>
      </c>
      <c r="G144">
        <f t="shared" si="24"/>
        <v>90.88</v>
      </c>
      <c r="H144">
        <f t="shared" si="25"/>
        <v>1</v>
      </c>
      <c r="I144" s="5">
        <f t="shared" si="20"/>
        <v>1</v>
      </c>
      <c r="J144" s="6">
        <v>81.2</v>
      </c>
      <c r="K144" s="5" t="s">
        <v>235</v>
      </c>
      <c r="L144" s="5">
        <v>93</v>
      </c>
      <c r="M144" s="5">
        <v>93</v>
      </c>
      <c r="N144" s="5">
        <v>93</v>
      </c>
      <c r="O144" s="5">
        <v>92</v>
      </c>
      <c r="P144" s="5">
        <v>92</v>
      </c>
      <c r="Q144" s="10">
        <f t="shared" si="26"/>
        <v>92.6</v>
      </c>
      <c r="R144" s="5" t="s">
        <v>235</v>
      </c>
      <c r="S144" s="5">
        <v>85</v>
      </c>
      <c r="T144" s="5">
        <v>83</v>
      </c>
      <c r="U144" s="5">
        <v>85</v>
      </c>
      <c r="V144" s="5">
        <v>82</v>
      </c>
      <c r="W144" s="5">
        <v>84</v>
      </c>
      <c r="X144" s="10">
        <f t="shared" si="21"/>
        <v>83.8</v>
      </c>
      <c r="Y144" s="5" t="s">
        <v>235</v>
      </c>
      <c r="Z144" s="5">
        <v>95</v>
      </c>
      <c r="AA144" s="5">
        <v>98</v>
      </c>
      <c r="AB144" s="5">
        <v>100</v>
      </c>
      <c r="AC144" s="5">
        <v>98</v>
      </c>
      <c r="AD144" s="5">
        <v>95</v>
      </c>
      <c r="AE144" s="10">
        <f t="shared" si="22"/>
        <v>97.2</v>
      </c>
      <c r="AF144" s="5" t="s">
        <v>235</v>
      </c>
      <c r="AG144" s="5">
        <v>80</v>
      </c>
      <c r="AH144" s="5">
        <v>90</v>
      </c>
      <c r="AI144" s="5">
        <v>82</v>
      </c>
      <c r="AJ144" s="5">
        <v>88</v>
      </c>
      <c r="AK144" s="5">
        <v>90</v>
      </c>
      <c r="AL144" s="10">
        <f t="shared" si="23"/>
        <v>86</v>
      </c>
    </row>
    <row r="145" s="5" customFormat="1" spans="1:38">
      <c r="A145" s="5" t="s">
        <v>236</v>
      </c>
      <c r="B145" s="6">
        <v>86.4</v>
      </c>
      <c r="C145" s="6">
        <v>84.2</v>
      </c>
      <c r="D145" s="6">
        <v>87.8</v>
      </c>
      <c r="E145" s="6">
        <v>74</v>
      </c>
      <c r="F145" s="6">
        <v>88.4</v>
      </c>
      <c r="G145">
        <f t="shared" si="24"/>
        <v>84.16</v>
      </c>
      <c r="H145">
        <f t="shared" si="25"/>
        <v>14.4</v>
      </c>
      <c r="I145" s="5">
        <f t="shared" si="20"/>
        <v>1</v>
      </c>
      <c r="J145" s="6">
        <v>62.4</v>
      </c>
      <c r="K145" s="5" t="s">
        <v>236</v>
      </c>
      <c r="L145" s="5">
        <v>90</v>
      </c>
      <c r="M145" s="5">
        <v>86</v>
      </c>
      <c r="N145" s="5">
        <v>90</v>
      </c>
      <c r="O145" s="5">
        <v>80</v>
      </c>
      <c r="P145" s="5">
        <v>90</v>
      </c>
      <c r="Q145" s="10">
        <f t="shared" si="26"/>
        <v>87.2</v>
      </c>
      <c r="R145" s="5" t="s">
        <v>236</v>
      </c>
      <c r="S145" s="5">
        <v>78</v>
      </c>
      <c r="T145" s="5">
        <v>76</v>
      </c>
      <c r="U145" s="5">
        <v>80</v>
      </c>
      <c r="V145" s="5">
        <v>48</v>
      </c>
      <c r="W145" s="5">
        <v>82</v>
      </c>
      <c r="X145" s="10">
        <f t="shared" si="21"/>
        <v>72.8</v>
      </c>
      <c r="Y145" s="5" t="s">
        <v>236</v>
      </c>
      <c r="Z145" s="5">
        <v>90</v>
      </c>
      <c r="AA145" s="5">
        <v>85</v>
      </c>
      <c r="AB145" s="5">
        <v>92</v>
      </c>
      <c r="AC145" s="5">
        <v>90</v>
      </c>
      <c r="AD145" s="5">
        <v>90</v>
      </c>
      <c r="AE145" s="10">
        <f t="shared" si="22"/>
        <v>89.4</v>
      </c>
      <c r="AF145" s="5" t="s">
        <v>236</v>
      </c>
      <c r="AG145" s="5">
        <v>75</v>
      </c>
      <c r="AH145" s="5">
        <v>90</v>
      </c>
      <c r="AI145" s="5">
        <v>85</v>
      </c>
      <c r="AJ145" s="5">
        <v>70</v>
      </c>
      <c r="AK145" s="5">
        <v>90</v>
      </c>
      <c r="AL145" s="10">
        <f t="shared" si="23"/>
        <v>82</v>
      </c>
    </row>
    <row r="146" s="5" customFormat="1" spans="1:38">
      <c r="A146" s="5" t="s">
        <v>237</v>
      </c>
      <c r="B146" s="6">
        <v>66.4</v>
      </c>
      <c r="C146" s="6">
        <v>53</v>
      </c>
      <c r="D146" s="6">
        <v>68.6</v>
      </c>
      <c r="E146" s="6">
        <v>67.2</v>
      </c>
      <c r="F146" s="6">
        <v>73.6</v>
      </c>
      <c r="G146">
        <f t="shared" si="24"/>
        <v>65.76</v>
      </c>
      <c r="H146">
        <f t="shared" si="25"/>
        <v>20.6</v>
      </c>
      <c r="I146" s="5">
        <f t="shared" si="20"/>
        <v>0</v>
      </c>
      <c r="J146" s="6">
        <v>49.6</v>
      </c>
      <c r="K146" s="5" t="s">
        <v>237</v>
      </c>
      <c r="L146" s="5">
        <v>60</v>
      </c>
      <c r="M146" s="5">
        <v>40</v>
      </c>
      <c r="N146" s="5">
        <v>65</v>
      </c>
      <c r="O146" s="5">
        <v>55</v>
      </c>
      <c r="P146" s="5">
        <v>75</v>
      </c>
      <c r="Q146" s="10">
        <f t="shared" si="26"/>
        <v>59</v>
      </c>
      <c r="R146" s="5" t="s">
        <v>237</v>
      </c>
      <c r="S146" s="5">
        <v>65</v>
      </c>
      <c r="T146" s="5">
        <v>50</v>
      </c>
      <c r="U146" s="5">
        <v>55</v>
      </c>
      <c r="V146" s="5">
        <v>78</v>
      </c>
      <c r="W146" s="5">
        <v>50</v>
      </c>
      <c r="X146" s="10">
        <f t="shared" si="21"/>
        <v>59.6</v>
      </c>
      <c r="Y146" s="5" t="s">
        <v>237</v>
      </c>
      <c r="Z146" s="5">
        <v>95</v>
      </c>
      <c r="AA146" s="5">
        <v>98</v>
      </c>
      <c r="AB146" s="5">
        <v>100</v>
      </c>
      <c r="AC146" s="5">
        <v>98</v>
      </c>
      <c r="AD146" s="5">
        <v>95</v>
      </c>
      <c r="AE146" s="10">
        <f t="shared" si="22"/>
        <v>97.2</v>
      </c>
      <c r="AF146" s="5" t="s">
        <v>237</v>
      </c>
      <c r="AG146" s="5">
        <v>75</v>
      </c>
      <c r="AH146" s="5">
        <v>90</v>
      </c>
      <c r="AI146" s="5">
        <v>82</v>
      </c>
      <c r="AJ146" s="5">
        <v>85</v>
      </c>
      <c r="AK146" s="5">
        <v>90</v>
      </c>
      <c r="AL146" s="10">
        <f t="shared" si="23"/>
        <v>84.4</v>
      </c>
    </row>
    <row r="147" s="5" customFormat="1" spans="1:38">
      <c r="A147" s="5" t="s">
        <v>238</v>
      </c>
      <c r="B147" s="6">
        <v>90.6</v>
      </c>
      <c r="C147" s="6">
        <v>91.4</v>
      </c>
      <c r="D147" s="6">
        <v>91.4</v>
      </c>
      <c r="E147" s="6">
        <v>90.4</v>
      </c>
      <c r="F147" s="6">
        <v>90.6</v>
      </c>
      <c r="G147">
        <f t="shared" si="24"/>
        <v>90.88</v>
      </c>
      <c r="H147">
        <f t="shared" si="25"/>
        <v>1</v>
      </c>
      <c r="I147" s="5">
        <f t="shared" si="20"/>
        <v>1</v>
      </c>
      <c r="J147" s="6">
        <v>81.2</v>
      </c>
      <c r="K147" s="5" t="s">
        <v>238</v>
      </c>
      <c r="L147" s="5">
        <v>93</v>
      </c>
      <c r="M147" s="5">
        <v>93</v>
      </c>
      <c r="N147" s="5">
        <v>93</v>
      </c>
      <c r="O147" s="5">
        <v>92</v>
      </c>
      <c r="P147" s="5">
        <v>92</v>
      </c>
      <c r="Q147" s="10">
        <f t="shared" si="26"/>
        <v>92.6</v>
      </c>
      <c r="R147" s="5" t="s">
        <v>238</v>
      </c>
      <c r="S147" s="5">
        <v>85</v>
      </c>
      <c r="T147" s="5">
        <v>83</v>
      </c>
      <c r="U147" s="5">
        <v>85</v>
      </c>
      <c r="V147" s="5">
        <v>82</v>
      </c>
      <c r="W147" s="5">
        <v>84</v>
      </c>
      <c r="X147" s="10">
        <f t="shared" si="21"/>
        <v>83.8</v>
      </c>
      <c r="Y147" s="5" t="s">
        <v>238</v>
      </c>
      <c r="Z147" s="5">
        <v>95</v>
      </c>
      <c r="AA147" s="5">
        <v>98</v>
      </c>
      <c r="AB147" s="5">
        <v>100</v>
      </c>
      <c r="AC147" s="5">
        <v>98</v>
      </c>
      <c r="AD147" s="5">
        <v>95</v>
      </c>
      <c r="AE147" s="10">
        <f t="shared" si="22"/>
        <v>97.2</v>
      </c>
      <c r="AF147" s="5" t="s">
        <v>238</v>
      </c>
      <c r="AG147" s="5">
        <v>80</v>
      </c>
      <c r="AH147" s="5">
        <v>90</v>
      </c>
      <c r="AI147" s="5">
        <v>82</v>
      </c>
      <c r="AJ147" s="5">
        <v>88</v>
      </c>
      <c r="AK147" s="5">
        <v>90</v>
      </c>
      <c r="AL147" s="10">
        <f t="shared" si="23"/>
        <v>86</v>
      </c>
    </row>
    <row r="148" s="5" customFormat="1" spans="1:38">
      <c r="A148" s="5" t="s">
        <v>239</v>
      </c>
      <c r="B148" s="6">
        <v>79</v>
      </c>
      <c r="C148" s="6">
        <v>81.4</v>
      </c>
      <c r="D148" s="6">
        <v>76.2</v>
      </c>
      <c r="E148" s="6">
        <v>73</v>
      </c>
      <c r="F148" s="6">
        <v>85.2</v>
      </c>
      <c r="G148">
        <f t="shared" si="24"/>
        <v>78.96</v>
      </c>
      <c r="H148">
        <f t="shared" si="25"/>
        <v>12.2</v>
      </c>
      <c r="I148" s="5">
        <f t="shared" si="20"/>
        <v>1</v>
      </c>
      <c r="J148" s="6">
        <v>69.2</v>
      </c>
      <c r="K148" s="5" t="s">
        <v>239</v>
      </c>
      <c r="L148" s="5">
        <v>82</v>
      </c>
      <c r="M148" s="5">
        <v>80</v>
      </c>
      <c r="N148" s="5">
        <v>74</v>
      </c>
      <c r="O148" s="5">
        <v>80</v>
      </c>
      <c r="P148" s="5">
        <v>85</v>
      </c>
      <c r="Q148" s="10">
        <f t="shared" si="26"/>
        <v>80.2</v>
      </c>
      <c r="R148" s="5" t="s">
        <v>239</v>
      </c>
      <c r="S148" s="5">
        <v>62</v>
      </c>
      <c r="T148" s="5">
        <v>72</v>
      </c>
      <c r="U148" s="5">
        <v>68</v>
      </c>
      <c r="V148" s="5">
        <v>38</v>
      </c>
      <c r="W148" s="5">
        <v>78</v>
      </c>
      <c r="X148" s="10">
        <f t="shared" si="21"/>
        <v>63.6</v>
      </c>
      <c r="Y148" s="5" t="s">
        <v>239</v>
      </c>
      <c r="Z148" s="5">
        <v>95</v>
      </c>
      <c r="AA148" s="5">
        <v>98</v>
      </c>
      <c r="AB148" s="5">
        <v>100</v>
      </c>
      <c r="AC148" s="5">
        <v>98</v>
      </c>
      <c r="AD148" s="5">
        <v>95</v>
      </c>
      <c r="AE148" s="10">
        <f t="shared" si="22"/>
        <v>97.2</v>
      </c>
      <c r="AF148" s="5" t="s">
        <v>239</v>
      </c>
      <c r="AG148" s="5">
        <v>75</v>
      </c>
      <c r="AH148" s="5">
        <v>90</v>
      </c>
      <c r="AI148" s="5">
        <v>78</v>
      </c>
      <c r="AJ148" s="5">
        <v>70</v>
      </c>
      <c r="AK148" s="5">
        <v>90</v>
      </c>
      <c r="AL148" s="10">
        <f t="shared" si="23"/>
        <v>80.6</v>
      </c>
    </row>
    <row r="149" spans="1:38">
      <c r="A149" t="s">
        <v>240</v>
      </c>
      <c r="B149" s="4">
        <v>88.6</v>
      </c>
      <c r="C149" s="4">
        <v>91.4</v>
      </c>
      <c r="D149" s="4">
        <v>91.4</v>
      </c>
      <c r="E149" s="4">
        <v>84.6</v>
      </c>
      <c r="F149" s="4">
        <v>86.2</v>
      </c>
      <c r="G149">
        <f t="shared" si="24"/>
        <v>88.44</v>
      </c>
      <c r="H149">
        <f t="shared" si="25"/>
        <v>6.80000000000001</v>
      </c>
      <c r="I149">
        <f t="shared" si="20"/>
        <v>1</v>
      </c>
      <c r="J149" s="4">
        <v>80.6</v>
      </c>
      <c r="K149" t="s">
        <v>240</v>
      </c>
      <c r="L149">
        <v>88</v>
      </c>
      <c r="M149">
        <v>92</v>
      </c>
      <c r="N149">
        <v>92</v>
      </c>
      <c r="O149">
        <v>85</v>
      </c>
      <c r="P149">
        <v>84</v>
      </c>
      <c r="Q149" s="10">
        <f t="shared" si="26"/>
        <v>88.2</v>
      </c>
      <c r="R149" t="s">
        <v>240</v>
      </c>
      <c r="S149">
        <v>86</v>
      </c>
      <c r="T149">
        <v>88</v>
      </c>
      <c r="U149">
        <v>88</v>
      </c>
      <c r="V149">
        <v>75</v>
      </c>
      <c r="W149">
        <v>84</v>
      </c>
      <c r="X149" s="10">
        <f t="shared" si="21"/>
        <v>84.2</v>
      </c>
      <c r="Y149" t="s">
        <v>240</v>
      </c>
      <c r="Z149">
        <v>95</v>
      </c>
      <c r="AA149">
        <v>95</v>
      </c>
      <c r="AB149">
        <v>95</v>
      </c>
      <c r="AC149">
        <v>95</v>
      </c>
      <c r="AD149">
        <v>95</v>
      </c>
      <c r="AE149" s="10">
        <f t="shared" si="22"/>
        <v>95</v>
      </c>
      <c r="AF149" t="s">
        <v>240</v>
      </c>
      <c r="AG149">
        <v>90</v>
      </c>
      <c r="AH149">
        <v>90</v>
      </c>
      <c r="AI149">
        <v>90</v>
      </c>
      <c r="AJ149">
        <v>90</v>
      </c>
      <c r="AK149">
        <v>95</v>
      </c>
      <c r="AL149" s="10">
        <f t="shared" si="23"/>
        <v>91</v>
      </c>
    </row>
    <row r="150" spans="1:38">
      <c r="A150" t="s">
        <v>241</v>
      </c>
      <c r="B150" s="4">
        <v>86</v>
      </c>
      <c r="C150" s="4">
        <v>88.4</v>
      </c>
      <c r="D150" s="4">
        <v>88.6</v>
      </c>
      <c r="E150" s="4">
        <v>79.4</v>
      </c>
      <c r="F150" s="4">
        <v>86</v>
      </c>
      <c r="G150">
        <f t="shared" si="24"/>
        <v>85.68</v>
      </c>
      <c r="H150">
        <f t="shared" si="25"/>
        <v>9.19999999999999</v>
      </c>
      <c r="I150">
        <f t="shared" si="20"/>
        <v>1</v>
      </c>
      <c r="J150" s="4">
        <v>82.2</v>
      </c>
      <c r="K150" t="s">
        <v>241</v>
      </c>
      <c r="L150">
        <v>85</v>
      </c>
      <c r="M150">
        <v>88</v>
      </c>
      <c r="N150">
        <v>90</v>
      </c>
      <c r="O150">
        <v>78</v>
      </c>
      <c r="P150">
        <v>84</v>
      </c>
      <c r="Q150" s="10">
        <f t="shared" si="26"/>
        <v>85</v>
      </c>
      <c r="R150" t="s">
        <v>241</v>
      </c>
      <c r="S150">
        <v>82</v>
      </c>
      <c r="T150">
        <v>85</v>
      </c>
      <c r="U150">
        <v>80</v>
      </c>
      <c r="V150">
        <v>70</v>
      </c>
      <c r="W150">
        <v>83</v>
      </c>
      <c r="X150" s="10">
        <f t="shared" si="21"/>
        <v>80</v>
      </c>
      <c r="Y150" t="s">
        <v>241</v>
      </c>
      <c r="Z150">
        <v>95</v>
      </c>
      <c r="AA150">
        <v>95</v>
      </c>
      <c r="AB150">
        <v>95</v>
      </c>
      <c r="AC150">
        <v>95</v>
      </c>
      <c r="AD150">
        <v>95</v>
      </c>
      <c r="AE150" s="10">
        <f t="shared" si="22"/>
        <v>95</v>
      </c>
      <c r="AF150" t="s">
        <v>241</v>
      </c>
      <c r="AG150">
        <v>90</v>
      </c>
      <c r="AH150">
        <v>90</v>
      </c>
      <c r="AI150">
        <v>90</v>
      </c>
      <c r="AJ150">
        <v>90</v>
      </c>
      <c r="AK150">
        <v>95</v>
      </c>
      <c r="AL150" s="10">
        <f t="shared" si="23"/>
        <v>91</v>
      </c>
    </row>
    <row r="151" spans="1:38">
      <c r="A151" t="s">
        <v>242</v>
      </c>
      <c r="B151" s="4">
        <v>75.4</v>
      </c>
      <c r="C151" s="4">
        <v>78.6</v>
      </c>
      <c r="D151" s="4">
        <v>82.4</v>
      </c>
      <c r="E151" s="4">
        <v>67</v>
      </c>
      <c r="F151" s="4">
        <v>81.4</v>
      </c>
      <c r="G151">
        <f t="shared" si="24"/>
        <v>76.96</v>
      </c>
      <c r="H151">
        <f t="shared" si="25"/>
        <v>15.4</v>
      </c>
      <c r="I151">
        <f t="shared" si="20"/>
        <v>1</v>
      </c>
      <c r="J151" s="4">
        <v>72</v>
      </c>
      <c r="K151" t="s">
        <v>242</v>
      </c>
      <c r="L151">
        <v>74</v>
      </c>
      <c r="M151">
        <v>80</v>
      </c>
      <c r="N151">
        <v>85</v>
      </c>
      <c r="O151">
        <v>65</v>
      </c>
      <c r="P151">
        <v>82</v>
      </c>
      <c r="Q151" s="10">
        <f t="shared" si="26"/>
        <v>77.2</v>
      </c>
      <c r="R151" t="s">
        <v>242</v>
      </c>
      <c r="S151">
        <v>78</v>
      </c>
      <c r="T151">
        <v>78</v>
      </c>
      <c r="U151">
        <v>78</v>
      </c>
      <c r="V151">
        <v>65</v>
      </c>
      <c r="W151">
        <v>82</v>
      </c>
      <c r="X151" s="10">
        <f t="shared" si="21"/>
        <v>76.2</v>
      </c>
      <c r="Y151" t="s">
        <v>242</v>
      </c>
      <c r="Z151">
        <v>95</v>
      </c>
      <c r="AA151">
        <v>95</v>
      </c>
      <c r="AB151">
        <v>95</v>
      </c>
      <c r="AC151">
        <v>92</v>
      </c>
      <c r="AD151">
        <v>95</v>
      </c>
      <c r="AE151" s="10">
        <f t="shared" si="22"/>
        <v>94.4</v>
      </c>
      <c r="AF151" t="s">
        <v>242</v>
      </c>
      <c r="AG151">
        <v>50</v>
      </c>
      <c r="AH151">
        <v>45</v>
      </c>
      <c r="AI151">
        <v>55</v>
      </c>
      <c r="AJ151">
        <v>50</v>
      </c>
      <c r="AK151">
        <v>55</v>
      </c>
      <c r="AL151" s="10">
        <f t="shared" si="23"/>
        <v>51</v>
      </c>
    </row>
    <row r="152" spans="1:38">
      <c r="A152" t="s">
        <v>243</v>
      </c>
      <c r="B152" s="4">
        <v>88.4</v>
      </c>
      <c r="C152" s="4">
        <v>88.4</v>
      </c>
      <c r="D152" s="4">
        <v>90.2</v>
      </c>
      <c r="E152" s="4">
        <v>82.2</v>
      </c>
      <c r="F152" s="4">
        <v>87.2</v>
      </c>
      <c r="G152">
        <f t="shared" si="24"/>
        <v>87.28</v>
      </c>
      <c r="H152">
        <f t="shared" si="25"/>
        <v>8</v>
      </c>
      <c r="I152">
        <f t="shared" si="20"/>
        <v>1</v>
      </c>
      <c r="J152" s="4">
        <v>82.4</v>
      </c>
      <c r="K152" t="s">
        <v>243</v>
      </c>
      <c r="L152">
        <v>88</v>
      </c>
      <c r="M152">
        <v>87</v>
      </c>
      <c r="N152">
        <v>90</v>
      </c>
      <c r="O152">
        <v>80</v>
      </c>
      <c r="P152">
        <v>85</v>
      </c>
      <c r="Q152" s="10">
        <f t="shared" si="26"/>
        <v>86</v>
      </c>
      <c r="R152" t="s">
        <v>243</v>
      </c>
      <c r="S152">
        <v>85</v>
      </c>
      <c r="T152">
        <v>88</v>
      </c>
      <c r="U152">
        <v>88</v>
      </c>
      <c r="V152">
        <v>78</v>
      </c>
      <c r="W152">
        <v>86</v>
      </c>
      <c r="X152" s="10">
        <f t="shared" si="21"/>
        <v>85</v>
      </c>
      <c r="Y152" t="s">
        <v>243</v>
      </c>
      <c r="Z152">
        <v>95</v>
      </c>
      <c r="AA152">
        <v>95</v>
      </c>
      <c r="AB152">
        <v>95</v>
      </c>
      <c r="AC152">
        <v>95</v>
      </c>
      <c r="AD152">
        <v>95</v>
      </c>
      <c r="AE152" s="10">
        <f t="shared" si="22"/>
        <v>95</v>
      </c>
      <c r="AF152" t="s">
        <v>243</v>
      </c>
      <c r="AG152">
        <v>90</v>
      </c>
      <c r="AH152">
        <v>90</v>
      </c>
      <c r="AI152">
        <v>90</v>
      </c>
      <c r="AJ152">
        <v>90</v>
      </c>
      <c r="AK152">
        <v>95</v>
      </c>
      <c r="AL152" s="10">
        <f t="shared" si="23"/>
        <v>91</v>
      </c>
    </row>
    <row r="153" spans="1:38">
      <c r="A153" t="s">
        <v>244</v>
      </c>
      <c r="B153" s="4">
        <v>76.8</v>
      </c>
      <c r="C153" s="4">
        <v>80.6</v>
      </c>
      <c r="D153" s="4">
        <v>83.4</v>
      </c>
      <c r="E153" s="4">
        <v>71.8</v>
      </c>
      <c r="F153" s="4">
        <v>81.4</v>
      </c>
      <c r="G153">
        <f t="shared" si="24"/>
        <v>78.8</v>
      </c>
      <c r="H153">
        <f t="shared" si="25"/>
        <v>11.6</v>
      </c>
      <c r="I153">
        <f t="shared" si="20"/>
        <v>1</v>
      </c>
      <c r="J153" s="4">
        <v>81.6</v>
      </c>
      <c r="K153" t="s">
        <v>244</v>
      </c>
      <c r="L153">
        <v>75</v>
      </c>
      <c r="M153">
        <v>82</v>
      </c>
      <c r="N153">
        <v>85</v>
      </c>
      <c r="O153">
        <v>70</v>
      </c>
      <c r="P153">
        <v>82</v>
      </c>
      <c r="Q153" s="10">
        <f t="shared" si="26"/>
        <v>78.8</v>
      </c>
      <c r="R153" t="s">
        <v>244</v>
      </c>
      <c r="S153">
        <v>80</v>
      </c>
      <c r="T153">
        <v>80</v>
      </c>
      <c r="U153">
        <v>82</v>
      </c>
      <c r="V153">
        <v>72</v>
      </c>
      <c r="W153">
        <v>82</v>
      </c>
      <c r="X153" s="10">
        <f t="shared" si="21"/>
        <v>79.2</v>
      </c>
      <c r="Y153" t="s">
        <v>244</v>
      </c>
      <c r="Z153">
        <v>95</v>
      </c>
      <c r="AA153">
        <v>95</v>
      </c>
      <c r="AB153">
        <v>95</v>
      </c>
      <c r="AC153">
        <v>92</v>
      </c>
      <c r="AD153">
        <v>95</v>
      </c>
      <c r="AE153" s="10">
        <f t="shared" si="22"/>
        <v>94.4</v>
      </c>
      <c r="AF153" t="s">
        <v>244</v>
      </c>
      <c r="AG153">
        <v>55</v>
      </c>
      <c r="AH153">
        <v>50</v>
      </c>
      <c r="AI153">
        <v>58</v>
      </c>
      <c r="AJ153">
        <v>55</v>
      </c>
      <c r="AK153">
        <v>55</v>
      </c>
      <c r="AL153" s="10">
        <f t="shared" si="23"/>
        <v>54.6</v>
      </c>
    </row>
    <row r="154" spans="1:38">
      <c r="A154" t="s">
        <v>245</v>
      </c>
      <c r="B154" s="4">
        <v>90.6</v>
      </c>
      <c r="C154" s="4">
        <v>94.6</v>
      </c>
      <c r="D154" s="4">
        <v>94.2</v>
      </c>
      <c r="E154" s="4">
        <v>90.6</v>
      </c>
      <c r="F154" s="4">
        <v>89.4</v>
      </c>
      <c r="G154">
        <f t="shared" si="24"/>
        <v>91.88</v>
      </c>
      <c r="H154">
        <f t="shared" si="25"/>
        <v>5.19999999999999</v>
      </c>
      <c r="I154">
        <f t="shared" si="20"/>
        <v>1</v>
      </c>
      <c r="J154" s="4">
        <v>86</v>
      </c>
      <c r="K154" t="s">
        <v>245</v>
      </c>
      <c r="L154">
        <v>90</v>
      </c>
      <c r="M154">
        <v>95</v>
      </c>
      <c r="N154">
        <v>95</v>
      </c>
      <c r="O154">
        <v>90</v>
      </c>
      <c r="P154">
        <v>88</v>
      </c>
      <c r="Q154" s="10">
        <f t="shared" si="26"/>
        <v>91.6</v>
      </c>
      <c r="R154" t="s">
        <v>245</v>
      </c>
      <c r="S154">
        <v>90</v>
      </c>
      <c r="T154">
        <v>95</v>
      </c>
      <c r="U154">
        <v>92</v>
      </c>
      <c r="V154">
        <v>90</v>
      </c>
      <c r="W154">
        <v>88</v>
      </c>
      <c r="X154" s="10">
        <f t="shared" si="21"/>
        <v>91</v>
      </c>
      <c r="Y154" t="s">
        <v>245</v>
      </c>
      <c r="Z154">
        <v>95</v>
      </c>
      <c r="AA154">
        <v>95</v>
      </c>
      <c r="AB154">
        <v>95</v>
      </c>
      <c r="AC154">
        <v>95</v>
      </c>
      <c r="AD154">
        <v>95</v>
      </c>
      <c r="AE154" s="10">
        <f t="shared" si="22"/>
        <v>95</v>
      </c>
      <c r="AF154" t="s">
        <v>245</v>
      </c>
      <c r="AG154">
        <v>90</v>
      </c>
      <c r="AH154">
        <v>90</v>
      </c>
      <c r="AI154">
        <v>92</v>
      </c>
      <c r="AJ154">
        <v>90</v>
      </c>
      <c r="AK154">
        <v>95</v>
      </c>
      <c r="AL154" s="10">
        <f t="shared" si="23"/>
        <v>91.4</v>
      </c>
    </row>
    <row r="155" spans="1:38">
      <c r="A155" t="s">
        <v>246</v>
      </c>
      <c r="B155" s="4">
        <v>76.8</v>
      </c>
      <c r="C155" s="4">
        <v>80.6</v>
      </c>
      <c r="D155" s="4">
        <v>83</v>
      </c>
      <c r="E155" s="4">
        <v>71.8</v>
      </c>
      <c r="F155" s="4">
        <v>81.4</v>
      </c>
      <c r="G155">
        <f t="shared" si="24"/>
        <v>78.72</v>
      </c>
      <c r="H155">
        <f t="shared" si="25"/>
        <v>11.2</v>
      </c>
      <c r="I155">
        <f t="shared" si="20"/>
        <v>1</v>
      </c>
      <c r="J155" s="4">
        <v>81.6</v>
      </c>
      <c r="K155" t="s">
        <v>246</v>
      </c>
      <c r="L155">
        <v>75</v>
      </c>
      <c r="M155">
        <v>82</v>
      </c>
      <c r="N155">
        <v>85</v>
      </c>
      <c r="O155">
        <v>70</v>
      </c>
      <c r="P155">
        <v>82</v>
      </c>
      <c r="Q155" s="10">
        <f t="shared" si="26"/>
        <v>78.8</v>
      </c>
      <c r="R155" t="s">
        <v>246</v>
      </c>
      <c r="S155">
        <v>80</v>
      </c>
      <c r="T155">
        <v>80</v>
      </c>
      <c r="U155">
        <v>80</v>
      </c>
      <c r="V155">
        <v>72</v>
      </c>
      <c r="W155">
        <v>82</v>
      </c>
      <c r="X155" s="10">
        <f t="shared" si="21"/>
        <v>78.8</v>
      </c>
      <c r="Y155" t="s">
        <v>246</v>
      </c>
      <c r="Z155">
        <v>95</v>
      </c>
      <c r="AA155">
        <v>95</v>
      </c>
      <c r="AB155">
        <v>95</v>
      </c>
      <c r="AC155">
        <v>92</v>
      </c>
      <c r="AD155">
        <v>95</v>
      </c>
      <c r="AE155" s="10">
        <f t="shared" si="22"/>
        <v>94.4</v>
      </c>
      <c r="AF155" t="s">
        <v>246</v>
      </c>
      <c r="AG155">
        <v>55</v>
      </c>
      <c r="AH155">
        <v>50</v>
      </c>
      <c r="AI155">
        <v>58</v>
      </c>
      <c r="AJ155">
        <v>55</v>
      </c>
      <c r="AK155">
        <v>55</v>
      </c>
      <c r="AL155" s="10">
        <f t="shared" si="23"/>
        <v>54.6</v>
      </c>
    </row>
    <row r="156" spans="1:38">
      <c r="A156" t="s">
        <v>247</v>
      </c>
      <c r="B156" s="4">
        <v>84.2</v>
      </c>
      <c r="C156" s="4">
        <v>86</v>
      </c>
      <c r="D156" s="4">
        <v>85.2</v>
      </c>
      <c r="E156" s="4">
        <v>71.6</v>
      </c>
      <c r="F156" s="4">
        <v>83</v>
      </c>
      <c r="G156">
        <f t="shared" si="24"/>
        <v>82</v>
      </c>
      <c r="H156">
        <f t="shared" si="25"/>
        <v>14.4</v>
      </c>
      <c r="I156">
        <f t="shared" si="20"/>
        <v>1</v>
      </c>
      <c r="J156" s="4">
        <v>81.2</v>
      </c>
      <c r="K156" t="s">
        <v>247</v>
      </c>
      <c r="L156">
        <v>82</v>
      </c>
      <c r="M156">
        <v>85</v>
      </c>
      <c r="N156">
        <v>85</v>
      </c>
      <c r="O156">
        <v>65</v>
      </c>
      <c r="P156">
        <v>80</v>
      </c>
      <c r="Q156" s="10">
        <f t="shared" si="26"/>
        <v>79.4</v>
      </c>
      <c r="R156" t="s">
        <v>247</v>
      </c>
      <c r="S156">
        <v>82</v>
      </c>
      <c r="T156">
        <v>82</v>
      </c>
      <c r="U156">
        <v>78</v>
      </c>
      <c r="V156">
        <v>70</v>
      </c>
      <c r="W156">
        <v>80</v>
      </c>
      <c r="X156" s="10">
        <f t="shared" si="21"/>
        <v>78.4</v>
      </c>
      <c r="Y156" t="s">
        <v>247</v>
      </c>
      <c r="Z156">
        <v>95</v>
      </c>
      <c r="AA156">
        <v>95</v>
      </c>
      <c r="AB156">
        <v>95</v>
      </c>
      <c r="AC156">
        <v>95</v>
      </c>
      <c r="AD156">
        <v>95</v>
      </c>
      <c r="AE156" s="10">
        <f t="shared" si="22"/>
        <v>95</v>
      </c>
      <c r="AF156" t="s">
        <v>247</v>
      </c>
      <c r="AG156">
        <v>90</v>
      </c>
      <c r="AH156">
        <v>90</v>
      </c>
      <c r="AI156">
        <v>90</v>
      </c>
      <c r="AJ156">
        <v>90</v>
      </c>
      <c r="AK156">
        <v>95</v>
      </c>
      <c r="AL156" s="10">
        <f t="shared" si="23"/>
        <v>91</v>
      </c>
    </row>
    <row r="157" spans="1:38">
      <c r="A157" t="s">
        <v>248</v>
      </c>
      <c r="B157" s="4">
        <v>89</v>
      </c>
      <c r="C157" s="4">
        <v>96.8</v>
      </c>
      <c r="D157" s="4">
        <v>93.4</v>
      </c>
      <c r="E157" s="4">
        <v>90</v>
      </c>
      <c r="F157" s="4">
        <v>91.6</v>
      </c>
      <c r="G157">
        <f t="shared" si="24"/>
        <v>92.16</v>
      </c>
      <c r="H157">
        <f t="shared" si="25"/>
        <v>7.8</v>
      </c>
      <c r="I157">
        <f t="shared" si="20"/>
        <v>1</v>
      </c>
      <c r="J157" s="4">
        <v>81.8</v>
      </c>
      <c r="K157" t="s">
        <v>248</v>
      </c>
      <c r="L157">
        <v>89</v>
      </c>
      <c r="M157">
        <v>98</v>
      </c>
      <c r="N157">
        <v>95</v>
      </c>
      <c r="O157">
        <v>92</v>
      </c>
      <c r="P157">
        <v>92</v>
      </c>
      <c r="Q157" s="10">
        <f t="shared" si="26"/>
        <v>93.2</v>
      </c>
      <c r="R157" t="s">
        <v>248</v>
      </c>
      <c r="S157">
        <v>86</v>
      </c>
      <c r="T157">
        <v>95</v>
      </c>
      <c r="U157">
        <v>88</v>
      </c>
      <c r="V157">
        <v>80</v>
      </c>
      <c r="W157">
        <v>88</v>
      </c>
      <c r="X157" s="10">
        <f t="shared" si="21"/>
        <v>87.4</v>
      </c>
      <c r="Y157" t="s">
        <v>248</v>
      </c>
      <c r="Z157">
        <v>95</v>
      </c>
      <c r="AA157">
        <v>95</v>
      </c>
      <c r="AB157">
        <v>95</v>
      </c>
      <c r="AC157">
        <v>95</v>
      </c>
      <c r="AD157">
        <v>95</v>
      </c>
      <c r="AE157" s="10">
        <f t="shared" si="22"/>
        <v>95</v>
      </c>
      <c r="AF157" t="s">
        <v>248</v>
      </c>
      <c r="AG157">
        <v>88</v>
      </c>
      <c r="AH157">
        <v>95</v>
      </c>
      <c r="AI157">
        <v>92</v>
      </c>
      <c r="AJ157">
        <v>92</v>
      </c>
      <c r="AK157">
        <v>92</v>
      </c>
      <c r="AL157" s="10">
        <f t="shared" si="23"/>
        <v>91.8</v>
      </c>
    </row>
    <row r="158" spans="1:38">
      <c r="A158" t="s">
        <v>249</v>
      </c>
      <c r="B158" s="4">
        <v>88.2</v>
      </c>
      <c r="C158" s="4">
        <v>85.8</v>
      </c>
      <c r="D158" s="4">
        <v>89</v>
      </c>
      <c r="E158" s="4">
        <v>82.8</v>
      </c>
      <c r="F158" s="4">
        <v>86.2</v>
      </c>
      <c r="G158">
        <f t="shared" si="24"/>
        <v>86.4</v>
      </c>
      <c r="H158">
        <f t="shared" si="25"/>
        <v>6.2</v>
      </c>
      <c r="I158">
        <f t="shared" si="20"/>
        <v>1</v>
      </c>
      <c r="J158" s="4">
        <v>83</v>
      </c>
      <c r="K158" t="s">
        <v>249</v>
      </c>
      <c r="L158">
        <v>88</v>
      </c>
      <c r="M158">
        <v>88</v>
      </c>
      <c r="N158">
        <v>90</v>
      </c>
      <c r="O158">
        <v>82</v>
      </c>
      <c r="P158">
        <v>84</v>
      </c>
      <c r="Q158" s="10">
        <f t="shared" si="26"/>
        <v>86.4</v>
      </c>
      <c r="R158" t="s">
        <v>249</v>
      </c>
      <c r="S158">
        <v>84</v>
      </c>
      <c r="T158">
        <v>72</v>
      </c>
      <c r="U158">
        <v>82</v>
      </c>
      <c r="V158">
        <v>75</v>
      </c>
      <c r="W158">
        <v>84</v>
      </c>
      <c r="X158" s="10">
        <f t="shared" si="21"/>
        <v>79.4</v>
      </c>
      <c r="Y158" t="s">
        <v>249</v>
      </c>
      <c r="Z158">
        <v>95</v>
      </c>
      <c r="AA158">
        <v>95</v>
      </c>
      <c r="AB158">
        <v>95</v>
      </c>
      <c r="AC158">
        <v>95</v>
      </c>
      <c r="AD158">
        <v>95</v>
      </c>
      <c r="AE158" s="10">
        <f t="shared" si="22"/>
        <v>95</v>
      </c>
      <c r="AF158" t="s">
        <v>249</v>
      </c>
      <c r="AG158">
        <v>90</v>
      </c>
      <c r="AH158">
        <v>90</v>
      </c>
      <c r="AI158">
        <v>90</v>
      </c>
      <c r="AJ158">
        <v>90</v>
      </c>
      <c r="AK158">
        <v>95</v>
      </c>
      <c r="AL158" s="10">
        <f t="shared" si="23"/>
        <v>91</v>
      </c>
    </row>
    <row r="159" spans="1:38">
      <c r="A159" t="s">
        <v>250</v>
      </c>
      <c r="B159" s="4">
        <v>89</v>
      </c>
      <c r="C159" s="4">
        <v>80.6</v>
      </c>
      <c r="D159" s="4">
        <v>90.2</v>
      </c>
      <c r="E159" s="4">
        <v>86.6</v>
      </c>
      <c r="F159" s="4">
        <v>87.2</v>
      </c>
      <c r="G159">
        <f t="shared" si="24"/>
        <v>86.72</v>
      </c>
      <c r="H159">
        <f t="shared" si="25"/>
        <v>9.60000000000001</v>
      </c>
      <c r="I159">
        <f t="shared" si="20"/>
        <v>1</v>
      </c>
      <c r="J159" s="4">
        <v>86</v>
      </c>
      <c r="K159" t="s">
        <v>250</v>
      </c>
      <c r="L159">
        <v>88</v>
      </c>
      <c r="M159">
        <v>82</v>
      </c>
      <c r="N159">
        <v>90</v>
      </c>
      <c r="O159">
        <v>85</v>
      </c>
      <c r="P159">
        <v>85</v>
      </c>
      <c r="Q159" s="10">
        <f t="shared" si="26"/>
        <v>86</v>
      </c>
      <c r="R159" t="s">
        <v>250</v>
      </c>
      <c r="S159">
        <v>88</v>
      </c>
      <c r="T159">
        <v>80</v>
      </c>
      <c r="U159">
        <v>88</v>
      </c>
      <c r="V159">
        <v>85</v>
      </c>
      <c r="W159">
        <v>86</v>
      </c>
      <c r="X159" s="10">
        <f t="shared" si="21"/>
        <v>85.4</v>
      </c>
      <c r="Y159" t="s">
        <v>250</v>
      </c>
      <c r="Z159">
        <v>95</v>
      </c>
      <c r="AA159">
        <v>95</v>
      </c>
      <c r="AB159">
        <v>95</v>
      </c>
      <c r="AC159">
        <v>95</v>
      </c>
      <c r="AD159">
        <v>95</v>
      </c>
      <c r="AE159" s="10">
        <f t="shared" si="22"/>
        <v>95</v>
      </c>
      <c r="AF159" t="s">
        <v>250</v>
      </c>
      <c r="AG159">
        <v>90</v>
      </c>
      <c r="AH159">
        <v>50</v>
      </c>
      <c r="AI159">
        <v>90</v>
      </c>
      <c r="AJ159">
        <v>90</v>
      </c>
      <c r="AK159">
        <v>95</v>
      </c>
      <c r="AL159" s="10">
        <f t="shared" si="23"/>
        <v>83</v>
      </c>
    </row>
    <row r="160" spans="1:38">
      <c r="A160" t="s">
        <v>251</v>
      </c>
      <c r="B160" s="4">
        <v>76.8</v>
      </c>
      <c r="C160" s="4">
        <v>90.2</v>
      </c>
      <c r="D160" s="4">
        <v>83.4</v>
      </c>
      <c r="E160" s="4">
        <v>70.6</v>
      </c>
      <c r="F160" s="4">
        <v>81.4</v>
      </c>
      <c r="G160">
        <f t="shared" si="24"/>
        <v>80.48</v>
      </c>
      <c r="H160">
        <f t="shared" si="25"/>
        <v>19.6</v>
      </c>
      <c r="I160">
        <f t="shared" si="20"/>
        <v>1</v>
      </c>
      <c r="J160" s="4">
        <v>81.6</v>
      </c>
      <c r="K160" t="s">
        <v>251</v>
      </c>
      <c r="L160">
        <v>75</v>
      </c>
      <c r="M160">
        <v>90</v>
      </c>
      <c r="N160">
        <v>85</v>
      </c>
      <c r="O160">
        <v>68</v>
      </c>
      <c r="P160">
        <v>82</v>
      </c>
      <c r="Q160" s="10">
        <f t="shared" si="26"/>
        <v>80</v>
      </c>
      <c r="R160" t="s">
        <v>251</v>
      </c>
      <c r="S160">
        <v>80</v>
      </c>
      <c r="T160">
        <v>88</v>
      </c>
      <c r="U160">
        <v>82</v>
      </c>
      <c r="V160">
        <v>72</v>
      </c>
      <c r="W160">
        <v>82</v>
      </c>
      <c r="X160" s="10">
        <f t="shared" si="21"/>
        <v>80.8</v>
      </c>
      <c r="Y160" t="s">
        <v>251</v>
      </c>
      <c r="Z160">
        <v>95</v>
      </c>
      <c r="AA160">
        <v>95</v>
      </c>
      <c r="AB160">
        <v>95</v>
      </c>
      <c r="AC160">
        <v>92</v>
      </c>
      <c r="AD160">
        <v>95</v>
      </c>
      <c r="AE160" s="10">
        <f t="shared" si="22"/>
        <v>94.4</v>
      </c>
      <c r="AF160" t="s">
        <v>251</v>
      </c>
      <c r="AG160">
        <v>55</v>
      </c>
      <c r="AH160">
        <v>90</v>
      </c>
      <c r="AI160">
        <v>58</v>
      </c>
      <c r="AJ160">
        <v>55</v>
      </c>
      <c r="AK160">
        <v>55</v>
      </c>
      <c r="AL160" s="10">
        <f t="shared" si="23"/>
        <v>62.6</v>
      </c>
    </row>
    <row r="161" spans="1:38">
      <c r="A161" t="s">
        <v>252</v>
      </c>
      <c r="B161" s="4">
        <v>88.2</v>
      </c>
      <c r="C161" s="4">
        <v>89.4</v>
      </c>
      <c r="D161" s="4">
        <v>89.4</v>
      </c>
      <c r="E161" s="4">
        <v>83.4</v>
      </c>
      <c r="F161" s="4">
        <v>86</v>
      </c>
      <c r="G161">
        <f t="shared" si="24"/>
        <v>87.28</v>
      </c>
      <c r="H161">
        <f t="shared" si="25"/>
        <v>6</v>
      </c>
      <c r="I161">
        <f t="shared" si="20"/>
        <v>1</v>
      </c>
      <c r="J161" s="4">
        <v>81.6</v>
      </c>
      <c r="K161" t="s">
        <v>252</v>
      </c>
      <c r="L161">
        <v>88</v>
      </c>
      <c r="M161">
        <v>90</v>
      </c>
      <c r="N161">
        <v>90</v>
      </c>
      <c r="O161">
        <v>82</v>
      </c>
      <c r="P161">
        <v>84</v>
      </c>
      <c r="Q161" s="10">
        <f t="shared" si="26"/>
        <v>86.8</v>
      </c>
      <c r="R161" t="s">
        <v>252</v>
      </c>
      <c r="S161">
        <v>84</v>
      </c>
      <c r="T161">
        <v>85</v>
      </c>
      <c r="U161">
        <v>84</v>
      </c>
      <c r="V161">
        <v>78</v>
      </c>
      <c r="W161">
        <v>83</v>
      </c>
      <c r="X161" s="10">
        <f t="shared" si="21"/>
        <v>82.8</v>
      </c>
      <c r="Y161" t="s">
        <v>252</v>
      </c>
      <c r="Z161">
        <v>95</v>
      </c>
      <c r="AA161">
        <v>95</v>
      </c>
      <c r="AB161">
        <v>95</v>
      </c>
      <c r="AC161">
        <v>95</v>
      </c>
      <c r="AD161">
        <v>95</v>
      </c>
      <c r="AE161" s="10">
        <f t="shared" si="22"/>
        <v>95</v>
      </c>
      <c r="AF161" t="s">
        <v>252</v>
      </c>
      <c r="AG161">
        <v>90</v>
      </c>
      <c r="AH161">
        <v>88</v>
      </c>
      <c r="AI161">
        <v>90</v>
      </c>
      <c r="AJ161">
        <v>90</v>
      </c>
      <c r="AK161">
        <v>95</v>
      </c>
      <c r="AL161" s="10">
        <f t="shared" si="23"/>
        <v>90.6</v>
      </c>
    </row>
    <row r="162" spans="1:38">
      <c r="A162" t="s">
        <v>253</v>
      </c>
      <c r="B162" s="4">
        <v>89.8</v>
      </c>
      <c r="C162" s="4">
        <v>87</v>
      </c>
      <c r="D162" s="4">
        <v>92.2</v>
      </c>
      <c r="E162" s="4">
        <v>89.8</v>
      </c>
      <c r="F162" s="4">
        <v>88.2</v>
      </c>
      <c r="G162">
        <f t="shared" si="24"/>
        <v>89.4</v>
      </c>
      <c r="H162">
        <f t="shared" si="25"/>
        <v>5.2</v>
      </c>
      <c r="I162">
        <f t="shared" si="20"/>
        <v>1</v>
      </c>
      <c r="J162" s="4">
        <v>86</v>
      </c>
      <c r="K162" t="s">
        <v>253</v>
      </c>
      <c r="L162">
        <v>88</v>
      </c>
      <c r="M162">
        <v>88</v>
      </c>
      <c r="N162">
        <v>92</v>
      </c>
      <c r="O162">
        <v>88</v>
      </c>
      <c r="P162">
        <v>86</v>
      </c>
      <c r="Q162" s="10">
        <f t="shared" si="26"/>
        <v>88.4</v>
      </c>
      <c r="R162" t="s">
        <v>253</v>
      </c>
      <c r="S162">
        <v>92</v>
      </c>
      <c r="T162">
        <v>78</v>
      </c>
      <c r="U162">
        <v>92</v>
      </c>
      <c r="V162">
        <v>92</v>
      </c>
      <c r="W162">
        <v>88</v>
      </c>
      <c r="X162" s="10">
        <f t="shared" si="21"/>
        <v>88.4</v>
      </c>
      <c r="Y162" t="s">
        <v>253</v>
      </c>
      <c r="Z162">
        <v>95</v>
      </c>
      <c r="AA162">
        <v>95</v>
      </c>
      <c r="AB162">
        <v>95</v>
      </c>
      <c r="AC162">
        <v>95</v>
      </c>
      <c r="AD162">
        <v>95</v>
      </c>
      <c r="AE162" s="10">
        <f t="shared" si="22"/>
        <v>95</v>
      </c>
      <c r="AF162" t="s">
        <v>253</v>
      </c>
      <c r="AG162">
        <v>90</v>
      </c>
      <c r="AH162">
        <v>90</v>
      </c>
      <c r="AI162">
        <v>90</v>
      </c>
      <c r="AJ162">
        <v>90</v>
      </c>
      <c r="AK162">
        <v>95</v>
      </c>
      <c r="AL162" s="10">
        <f t="shared" si="23"/>
        <v>91</v>
      </c>
    </row>
    <row r="163" spans="1:38">
      <c r="A163" t="s">
        <v>254</v>
      </c>
      <c r="B163" s="4">
        <v>88</v>
      </c>
      <c r="C163" s="4">
        <v>81.2</v>
      </c>
      <c r="D163" s="4">
        <v>91</v>
      </c>
      <c r="E163" s="4">
        <v>88.8</v>
      </c>
      <c r="F163" s="4">
        <v>91.2</v>
      </c>
      <c r="G163">
        <f t="shared" si="24"/>
        <v>88.04</v>
      </c>
      <c r="H163">
        <f t="shared" si="25"/>
        <v>10</v>
      </c>
      <c r="I163">
        <f t="shared" si="20"/>
        <v>1</v>
      </c>
      <c r="J163" s="4">
        <v>81.8</v>
      </c>
      <c r="K163" t="s">
        <v>254</v>
      </c>
      <c r="L163">
        <v>88</v>
      </c>
      <c r="M163">
        <v>85</v>
      </c>
      <c r="N163">
        <v>92</v>
      </c>
      <c r="O163">
        <v>90</v>
      </c>
      <c r="P163">
        <v>92</v>
      </c>
      <c r="Q163" s="10">
        <f t="shared" si="26"/>
        <v>89.4</v>
      </c>
      <c r="R163" t="s">
        <v>254</v>
      </c>
      <c r="S163">
        <v>84</v>
      </c>
      <c r="T163">
        <v>60</v>
      </c>
      <c r="U163">
        <v>85</v>
      </c>
      <c r="V163">
        <v>80</v>
      </c>
      <c r="W163">
        <v>86</v>
      </c>
      <c r="X163" s="10">
        <f t="shared" si="21"/>
        <v>79</v>
      </c>
      <c r="Y163" t="s">
        <v>254</v>
      </c>
      <c r="Z163">
        <v>95</v>
      </c>
      <c r="AA163">
        <v>95</v>
      </c>
      <c r="AB163">
        <v>95</v>
      </c>
      <c r="AC163">
        <v>95</v>
      </c>
      <c r="AD163">
        <v>95</v>
      </c>
      <c r="AE163" s="10">
        <f t="shared" si="22"/>
        <v>95</v>
      </c>
      <c r="AF163" t="s">
        <v>254</v>
      </c>
      <c r="AG163">
        <v>88</v>
      </c>
      <c r="AH163">
        <v>85</v>
      </c>
      <c r="AI163">
        <v>92</v>
      </c>
      <c r="AJ163">
        <v>92</v>
      </c>
      <c r="AK163">
        <v>92</v>
      </c>
      <c r="AL163" s="10">
        <f t="shared" si="23"/>
        <v>89.8</v>
      </c>
    </row>
    <row r="164" spans="1:38">
      <c r="A164" t="s">
        <v>255</v>
      </c>
      <c r="B164" s="4">
        <v>86.4</v>
      </c>
      <c r="C164" s="4">
        <v>85.6</v>
      </c>
      <c r="D164" s="4">
        <v>89</v>
      </c>
      <c r="E164" s="4">
        <v>82.8</v>
      </c>
      <c r="F164" s="4">
        <v>84.2</v>
      </c>
      <c r="G164">
        <f t="shared" si="24"/>
        <v>85.6</v>
      </c>
      <c r="H164">
        <f t="shared" si="25"/>
        <v>6.2</v>
      </c>
      <c r="I164">
        <f t="shared" si="20"/>
        <v>1</v>
      </c>
      <c r="J164" s="4">
        <v>82.2</v>
      </c>
      <c r="K164" t="s">
        <v>255</v>
      </c>
      <c r="L164">
        <v>87</v>
      </c>
      <c r="M164">
        <v>85</v>
      </c>
      <c r="N164">
        <v>90</v>
      </c>
      <c r="O164">
        <v>82</v>
      </c>
      <c r="P164">
        <v>82</v>
      </c>
      <c r="Q164" s="10">
        <f t="shared" si="26"/>
        <v>85.2</v>
      </c>
      <c r="R164" t="s">
        <v>255</v>
      </c>
      <c r="S164">
        <v>78</v>
      </c>
      <c r="T164">
        <v>80</v>
      </c>
      <c r="U164">
        <v>82</v>
      </c>
      <c r="V164">
        <v>75</v>
      </c>
      <c r="W164">
        <v>80</v>
      </c>
      <c r="X164" s="10">
        <f t="shared" si="21"/>
        <v>79</v>
      </c>
      <c r="Y164" t="s">
        <v>255</v>
      </c>
      <c r="Z164">
        <v>95</v>
      </c>
      <c r="AA164">
        <v>95</v>
      </c>
      <c r="AB164">
        <v>95</v>
      </c>
      <c r="AC164">
        <v>95</v>
      </c>
      <c r="AD164">
        <v>95</v>
      </c>
      <c r="AE164" s="10">
        <f t="shared" si="22"/>
        <v>95</v>
      </c>
      <c r="AF164" t="s">
        <v>255</v>
      </c>
      <c r="AG164">
        <v>90</v>
      </c>
      <c r="AH164">
        <v>90</v>
      </c>
      <c r="AI164">
        <v>90</v>
      </c>
      <c r="AJ164">
        <v>90</v>
      </c>
      <c r="AK164">
        <v>95</v>
      </c>
      <c r="AL164" s="10">
        <f t="shared" si="23"/>
        <v>91</v>
      </c>
    </row>
    <row r="165" spans="1:38">
      <c r="A165" t="s">
        <v>256</v>
      </c>
      <c r="B165" s="4">
        <v>84.8</v>
      </c>
      <c r="C165" s="4">
        <v>81.2</v>
      </c>
      <c r="D165" s="4">
        <v>85.4</v>
      </c>
      <c r="E165" s="4">
        <v>71.6</v>
      </c>
      <c r="F165" s="4">
        <v>82.6</v>
      </c>
      <c r="G165">
        <f t="shared" si="24"/>
        <v>81.12</v>
      </c>
      <c r="H165">
        <f t="shared" si="25"/>
        <v>13.8</v>
      </c>
      <c r="I165">
        <f t="shared" si="20"/>
        <v>1</v>
      </c>
      <c r="J165" s="4">
        <v>61</v>
      </c>
      <c r="K165" t="s">
        <v>256</v>
      </c>
      <c r="L165">
        <v>85</v>
      </c>
      <c r="M165">
        <v>85</v>
      </c>
      <c r="N165">
        <v>88</v>
      </c>
      <c r="O165">
        <v>65</v>
      </c>
      <c r="P165">
        <v>80</v>
      </c>
      <c r="Q165" s="10">
        <f t="shared" si="26"/>
        <v>80.6</v>
      </c>
      <c r="R165" t="s">
        <v>256</v>
      </c>
      <c r="S165">
        <v>76</v>
      </c>
      <c r="T165">
        <v>60</v>
      </c>
      <c r="U165">
        <v>72</v>
      </c>
      <c r="V165">
        <v>70</v>
      </c>
      <c r="W165">
        <v>78</v>
      </c>
      <c r="X165" s="10">
        <f t="shared" si="21"/>
        <v>71.2</v>
      </c>
      <c r="Y165" t="s">
        <v>256</v>
      </c>
      <c r="Z165">
        <v>95</v>
      </c>
      <c r="AA165">
        <v>95</v>
      </c>
      <c r="AB165">
        <v>92</v>
      </c>
      <c r="AC165">
        <v>95</v>
      </c>
      <c r="AD165">
        <v>95</v>
      </c>
      <c r="AE165" s="10">
        <f t="shared" si="22"/>
        <v>94.4</v>
      </c>
      <c r="AF165" t="s">
        <v>256</v>
      </c>
      <c r="AG165">
        <v>90</v>
      </c>
      <c r="AH165">
        <v>85</v>
      </c>
      <c r="AI165">
        <v>90</v>
      </c>
      <c r="AJ165">
        <v>90</v>
      </c>
      <c r="AK165">
        <v>95</v>
      </c>
      <c r="AL165" s="10">
        <f t="shared" si="23"/>
        <v>90</v>
      </c>
    </row>
    <row r="166" spans="1:38">
      <c r="A166" t="s">
        <v>257</v>
      </c>
      <c r="B166" s="4">
        <v>84.2</v>
      </c>
      <c r="C166" s="4">
        <v>85.6</v>
      </c>
      <c r="D166" s="4">
        <v>83.4</v>
      </c>
      <c r="E166" s="4">
        <v>83.4</v>
      </c>
      <c r="F166" s="4">
        <v>82.4</v>
      </c>
      <c r="G166">
        <f t="shared" ref="G166:G184" si="27">AVERAGE(B166:F166)</f>
        <v>83.8</v>
      </c>
      <c r="H166">
        <f t="shared" ref="H166:H184" si="28">MAX(B166:F166)-MIN(B166:F166)</f>
        <v>3.19999999999999</v>
      </c>
      <c r="I166">
        <f t="shared" si="20"/>
        <v>1</v>
      </c>
      <c r="J166" s="4">
        <v>80.6</v>
      </c>
      <c r="K166" t="s">
        <v>257</v>
      </c>
      <c r="L166">
        <v>82</v>
      </c>
      <c r="M166">
        <v>85</v>
      </c>
      <c r="N166">
        <v>82</v>
      </c>
      <c r="O166">
        <v>82</v>
      </c>
      <c r="P166">
        <v>79</v>
      </c>
      <c r="Q166" s="10">
        <f t="shared" ref="Q166:Q184" si="29">AVERAGE(L166:P166)</f>
        <v>82</v>
      </c>
      <c r="R166" t="s">
        <v>257</v>
      </c>
      <c r="S166">
        <v>82</v>
      </c>
      <c r="T166">
        <v>80</v>
      </c>
      <c r="U166">
        <v>78</v>
      </c>
      <c r="V166">
        <v>78</v>
      </c>
      <c r="W166">
        <v>80</v>
      </c>
      <c r="X166" s="10">
        <f t="shared" si="21"/>
        <v>79.6</v>
      </c>
      <c r="Y166" t="s">
        <v>257</v>
      </c>
      <c r="Z166">
        <v>95</v>
      </c>
      <c r="AA166">
        <v>95</v>
      </c>
      <c r="AB166">
        <v>95</v>
      </c>
      <c r="AC166">
        <v>95</v>
      </c>
      <c r="AD166">
        <v>95</v>
      </c>
      <c r="AE166" s="10">
        <f t="shared" si="22"/>
        <v>95</v>
      </c>
      <c r="AF166" t="s">
        <v>257</v>
      </c>
      <c r="AG166">
        <v>90</v>
      </c>
      <c r="AH166">
        <v>90</v>
      </c>
      <c r="AI166">
        <v>90</v>
      </c>
      <c r="AJ166">
        <v>90</v>
      </c>
      <c r="AK166">
        <v>95</v>
      </c>
      <c r="AL166" s="10">
        <f t="shared" si="23"/>
        <v>91</v>
      </c>
    </row>
    <row r="167" spans="1:38">
      <c r="A167" t="s">
        <v>258</v>
      </c>
      <c r="B167" s="4">
        <v>94.4</v>
      </c>
      <c r="C167" s="4">
        <v>94</v>
      </c>
      <c r="D167" s="4">
        <v>94.6</v>
      </c>
      <c r="E167" s="4">
        <v>94</v>
      </c>
      <c r="F167" s="4">
        <v>92.2</v>
      </c>
      <c r="G167">
        <f t="shared" si="27"/>
        <v>93.84</v>
      </c>
      <c r="H167">
        <f t="shared" si="28"/>
        <v>2.39999999999999</v>
      </c>
      <c r="I167">
        <f t="shared" si="20"/>
        <v>1</v>
      </c>
      <c r="J167" s="4">
        <v>93.2</v>
      </c>
      <c r="K167" t="s">
        <v>258</v>
      </c>
      <c r="L167">
        <v>95</v>
      </c>
      <c r="M167">
        <v>95</v>
      </c>
      <c r="N167">
        <v>95</v>
      </c>
      <c r="O167">
        <v>95</v>
      </c>
      <c r="P167">
        <v>92</v>
      </c>
      <c r="Q167" s="10">
        <f t="shared" si="29"/>
        <v>94.4</v>
      </c>
      <c r="R167" t="s">
        <v>258</v>
      </c>
      <c r="S167">
        <v>92</v>
      </c>
      <c r="T167">
        <v>92</v>
      </c>
      <c r="U167">
        <v>95</v>
      </c>
      <c r="V167">
        <v>92</v>
      </c>
      <c r="W167">
        <v>92</v>
      </c>
      <c r="X167" s="10">
        <f t="shared" si="21"/>
        <v>92.6</v>
      </c>
      <c r="Y167" t="s">
        <v>258</v>
      </c>
      <c r="Z167">
        <v>95</v>
      </c>
      <c r="AA167">
        <v>92</v>
      </c>
      <c r="AB167">
        <v>95</v>
      </c>
      <c r="AC167">
        <v>95</v>
      </c>
      <c r="AD167">
        <v>95</v>
      </c>
      <c r="AE167" s="10">
        <f t="shared" si="22"/>
        <v>94.4</v>
      </c>
      <c r="AF167" t="s">
        <v>258</v>
      </c>
      <c r="AG167">
        <v>95</v>
      </c>
      <c r="AH167">
        <v>95</v>
      </c>
      <c r="AI167">
        <v>90</v>
      </c>
      <c r="AJ167">
        <v>90</v>
      </c>
      <c r="AK167">
        <v>90</v>
      </c>
      <c r="AL167" s="10">
        <f t="shared" si="23"/>
        <v>92</v>
      </c>
    </row>
    <row r="168" spans="1:38">
      <c r="A168" t="s">
        <v>259</v>
      </c>
      <c r="B168" s="4">
        <v>83.8</v>
      </c>
      <c r="C168" s="4">
        <v>83.2</v>
      </c>
      <c r="D168" s="4">
        <v>89.2</v>
      </c>
      <c r="E168" s="4">
        <v>80.4</v>
      </c>
      <c r="F168" s="4">
        <v>83.6</v>
      </c>
      <c r="G168">
        <f t="shared" si="27"/>
        <v>84.04</v>
      </c>
      <c r="H168">
        <f t="shared" si="28"/>
        <v>8.8</v>
      </c>
      <c r="I168">
        <f t="shared" si="20"/>
        <v>1</v>
      </c>
      <c r="J168" s="4">
        <v>81.2</v>
      </c>
      <c r="K168" t="s">
        <v>259</v>
      </c>
      <c r="L168">
        <v>82</v>
      </c>
      <c r="M168">
        <v>82</v>
      </c>
      <c r="N168">
        <v>90</v>
      </c>
      <c r="O168">
        <v>78</v>
      </c>
      <c r="P168">
        <v>80</v>
      </c>
      <c r="Q168" s="10">
        <f t="shared" si="29"/>
        <v>82.4</v>
      </c>
      <c r="R168" t="s">
        <v>259</v>
      </c>
      <c r="S168">
        <v>80</v>
      </c>
      <c r="T168">
        <v>78</v>
      </c>
      <c r="U168">
        <v>85</v>
      </c>
      <c r="V168">
        <v>75</v>
      </c>
      <c r="W168">
        <v>85</v>
      </c>
      <c r="X168" s="10">
        <f t="shared" si="21"/>
        <v>80.6</v>
      </c>
      <c r="Y168" t="s">
        <v>259</v>
      </c>
      <c r="Z168">
        <v>95</v>
      </c>
      <c r="AA168">
        <v>90</v>
      </c>
      <c r="AB168">
        <v>95</v>
      </c>
      <c r="AC168">
        <v>95</v>
      </c>
      <c r="AD168">
        <v>95</v>
      </c>
      <c r="AE168" s="10">
        <f t="shared" si="22"/>
        <v>94</v>
      </c>
      <c r="AF168" t="s">
        <v>259</v>
      </c>
      <c r="AG168">
        <v>90</v>
      </c>
      <c r="AH168">
        <v>95</v>
      </c>
      <c r="AI168">
        <v>85</v>
      </c>
      <c r="AJ168">
        <v>90</v>
      </c>
      <c r="AK168">
        <v>90</v>
      </c>
      <c r="AL168" s="10">
        <f t="shared" si="23"/>
        <v>90</v>
      </c>
    </row>
    <row r="169" spans="1:38">
      <c r="A169" t="s">
        <v>260</v>
      </c>
      <c r="B169" s="4">
        <v>85.6</v>
      </c>
      <c r="C169" s="4">
        <v>85.8</v>
      </c>
      <c r="D169" s="4">
        <v>89.2</v>
      </c>
      <c r="E169" s="4">
        <v>80.4</v>
      </c>
      <c r="F169" s="4">
        <v>90.2</v>
      </c>
      <c r="G169">
        <f t="shared" si="27"/>
        <v>86.24</v>
      </c>
      <c r="H169">
        <f t="shared" si="28"/>
        <v>9.8</v>
      </c>
      <c r="I169">
        <f t="shared" si="20"/>
        <v>1</v>
      </c>
      <c r="J169" s="4">
        <v>81.6</v>
      </c>
      <c r="K169" t="s">
        <v>260</v>
      </c>
      <c r="L169">
        <v>85</v>
      </c>
      <c r="M169">
        <v>85</v>
      </c>
      <c r="N169">
        <v>90</v>
      </c>
      <c r="O169">
        <v>78</v>
      </c>
      <c r="P169">
        <v>90</v>
      </c>
      <c r="Q169" s="10">
        <f t="shared" si="29"/>
        <v>85.6</v>
      </c>
      <c r="R169" t="s">
        <v>260</v>
      </c>
      <c r="S169">
        <v>80</v>
      </c>
      <c r="T169">
        <v>82</v>
      </c>
      <c r="U169">
        <v>85</v>
      </c>
      <c r="V169">
        <v>75</v>
      </c>
      <c r="W169">
        <v>88</v>
      </c>
      <c r="X169" s="10">
        <f t="shared" si="21"/>
        <v>82</v>
      </c>
      <c r="Y169" t="s">
        <v>260</v>
      </c>
      <c r="Z169">
        <v>95</v>
      </c>
      <c r="AA169">
        <v>90</v>
      </c>
      <c r="AB169">
        <v>95</v>
      </c>
      <c r="AC169">
        <v>95</v>
      </c>
      <c r="AD169">
        <v>95</v>
      </c>
      <c r="AE169" s="10">
        <f t="shared" si="22"/>
        <v>94</v>
      </c>
      <c r="AF169" t="s">
        <v>260</v>
      </c>
      <c r="AG169">
        <v>90</v>
      </c>
      <c r="AH169">
        <v>95</v>
      </c>
      <c r="AI169">
        <v>85</v>
      </c>
      <c r="AJ169">
        <v>90</v>
      </c>
      <c r="AK169">
        <v>90</v>
      </c>
      <c r="AL169" s="10">
        <f t="shared" si="23"/>
        <v>90</v>
      </c>
    </row>
    <row r="170" spans="1:38">
      <c r="A170" t="s">
        <v>261</v>
      </c>
      <c r="B170" s="4">
        <v>29.6</v>
      </c>
      <c r="C170" s="4">
        <v>25</v>
      </c>
      <c r="D170" s="4">
        <v>26.2</v>
      </c>
      <c r="E170" s="4">
        <v>22.6</v>
      </c>
      <c r="F170" s="4">
        <v>33.8</v>
      </c>
      <c r="G170">
        <f t="shared" si="27"/>
        <v>27.44</v>
      </c>
      <c r="H170">
        <f t="shared" si="28"/>
        <v>11.2</v>
      </c>
      <c r="I170">
        <f t="shared" si="20"/>
        <v>1</v>
      </c>
      <c r="J170" s="4">
        <v>43.6</v>
      </c>
      <c r="K170" t="s">
        <v>261</v>
      </c>
      <c r="L170">
        <v>20</v>
      </c>
      <c r="M170">
        <v>20</v>
      </c>
      <c r="N170">
        <v>18</v>
      </c>
      <c r="O170">
        <v>15</v>
      </c>
      <c r="P170">
        <v>25</v>
      </c>
      <c r="Q170" s="10">
        <f t="shared" si="29"/>
        <v>19.6</v>
      </c>
      <c r="R170" t="s">
        <v>261</v>
      </c>
      <c r="S170">
        <v>35</v>
      </c>
      <c r="T170">
        <v>15</v>
      </c>
      <c r="U170">
        <v>30</v>
      </c>
      <c r="V170">
        <v>20</v>
      </c>
      <c r="W170">
        <v>25</v>
      </c>
      <c r="X170" s="10">
        <f t="shared" si="21"/>
        <v>25</v>
      </c>
      <c r="Y170" t="s">
        <v>261</v>
      </c>
      <c r="Z170">
        <v>55</v>
      </c>
      <c r="AA170">
        <v>50</v>
      </c>
      <c r="AB170">
        <v>45</v>
      </c>
      <c r="AC170">
        <v>60</v>
      </c>
      <c r="AD170">
        <v>75</v>
      </c>
      <c r="AE170" s="10">
        <f t="shared" si="22"/>
        <v>57</v>
      </c>
      <c r="AF170" t="s">
        <v>261</v>
      </c>
      <c r="AG170">
        <v>50</v>
      </c>
      <c r="AH170">
        <v>50</v>
      </c>
      <c r="AI170">
        <v>50</v>
      </c>
      <c r="AJ170">
        <v>30</v>
      </c>
      <c r="AK170">
        <v>60</v>
      </c>
      <c r="AL170" s="10">
        <f t="shared" si="23"/>
        <v>48</v>
      </c>
    </row>
    <row r="171" spans="1:38">
      <c r="A171" t="s">
        <v>262</v>
      </c>
      <c r="B171" s="4">
        <v>85.2</v>
      </c>
      <c r="C171" s="4">
        <v>85.4</v>
      </c>
      <c r="D171" s="4">
        <v>89.2</v>
      </c>
      <c r="E171" s="4">
        <v>83.4</v>
      </c>
      <c r="F171" s="4">
        <v>90.2</v>
      </c>
      <c r="G171">
        <f t="shared" si="27"/>
        <v>86.68</v>
      </c>
      <c r="H171">
        <f t="shared" si="28"/>
        <v>6.8</v>
      </c>
      <c r="I171">
        <f t="shared" si="20"/>
        <v>1</v>
      </c>
      <c r="J171" s="4">
        <v>80.6</v>
      </c>
      <c r="K171" t="s">
        <v>262</v>
      </c>
      <c r="L171">
        <v>85</v>
      </c>
      <c r="M171">
        <v>85</v>
      </c>
      <c r="N171">
        <v>90</v>
      </c>
      <c r="O171">
        <v>82</v>
      </c>
      <c r="P171">
        <v>90</v>
      </c>
      <c r="Q171" s="10">
        <f t="shared" si="29"/>
        <v>86.4</v>
      </c>
      <c r="R171" t="s">
        <v>262</v>
      </c>
      <c r="S171">
        <v>78</v>
      </c>
      <c r="T171">
        <v>80</v>
      </c>
      <c r="U171">
        <v>85</v>
      </c>
      <c r="V171">
        <v>78</v>
      </c>
      <c r="W171">
        <v>88</v>
      </c>
      <c r="X171" s="10">
        <f t="shared" si="21"/>
        <v>81.8</v>
      </c>
      <c r="Y171" t="s">
        <v>262</v>
      </c>
      <c r="Z171">
        <v>95</v>
      </c>
      <c r="AA171">
        <v>90</v>
      </c>
      <c r="AB171">
        <v>95</v>
      </c>
      <c r="AC171">
        <v>95</v>
      </c>
      <c r="AD171">
        <v>95</v>
      </c>
      <c r="AE171" s="10">
        <f t="shared" si="22"/>
        <v>94</v>
      </c>
      <c r="AF171" t="s">
        <v>262</v>
      </c>
      <c r="AG171">
        <v>90</v>
      </c>
      <c r="AH171">
        <v>95</v>
      </c>
      <c r="AI171">
        <v>85</v>
      </c>
      <c r="AJ171">
        <v>90</v>
      </c>
      <c r="AK171">
        <v>90</v>
      </c>
      <c r="AL171" s="10">
        <f t="shared" si="23"/>
        <v>90</v>
      </c>
    </row>
    <row r="172" spans="1:38">
      <c r="A172" t="s">
        <v>263</v>
      </c>
      <c r="B172" s="4">
        <v>85</v>
      </c>
      <c r="C172" s="4">
        <v>85</v>
      </c>
      <c r="D172" s="4">
        <v>85</v>
      </c>
      <c r="E172" s="4">
        <v>79.8</v>
      </c>
      <c r="F172" s="4">
        <v>82</v>
      </c>
      <c r="G172">
        <f t="shared" si="27"/>
        <v>83.36</v>
      </c>
      <c r="H172">
        <f t="shared" si="28"/>
        <v>5.2</v>
      </c>
      <c r="I172">
        <f t="shared" si="20"/>
        <v>1</v>
      </c>
      <c r="J172" s="4">
        <v>81.6</v>
      </c>
      <c r="K172" t="s">
        <v>263</v>
      </c>
      <c r="L172">
        <v>88</v>
      </c>
      <c r="M172">
        <v>88</v>
      </c>
      <c r="N172">
        <v>88</v>
      </c>
      <c r="O172">
        <v>80</v>
      </c>
      <c r="P172">
        <v>82</v>
      </c>
      <c r="Q172" s="10">
        <f t="shared" si="29"/>
        <v>85.2</v>
      </c>
      <c r="R172" t="s">
        <v>263</v>
      </c>
      <c r="S172">
        <v>82</v>
      </c>
      <c r="T172">
        <v>85</v>
      </c>
      <c r="U172">
        <v>82</v>
      </c>
      <c r="V172">
        <v>78</v>
      </c>
      <c r="W172">
        <v>85</v>
      </c>
      <c r="X172" s="10">
        <f t="shared" si="21"/>
        <v>82.4</v>
      </c>
      <c r="Y172" t="s">
        <v>263</v>
      </c>
      <c r="Z172">
        <v>95</v>
      </c>
      <c r="AA172">
        <v>90</v>
      </c>
      <c r="AB172">
        <v>95</v>
      </c>
      <c r="AC172">
        <v>95</v>
      </c>
      <c r="AD172">
        <v>95</v>
      </c>
      <c r="AE172" s="10">
        <f t="shared" si="22"/>
        <v>94</v>
      </c>
      <c r="AF172" t="s">
        <v>263</v>
      </c>
      <c r="AG172">
        <v>55</v>
      </c>
      <c r="AH172">
        <v>55</v>
      </c>
      <c r="AI172">
        <v>55</v>
      </c>
      <c r="AJ172">
        <v>60</v>
      </c>
      <c r="AK172">
        <v>55</v>
      </c>
      <c r="AL172" s="10">
        <f t="shared" si="23"/>
        <v>56</v>
      </c>
    </row>
    <row r="173" spans="1:38">
      <c r="A173" t="s">
        <v>264</v>
      </c>
      <c r="B173" s="4">
        <v>85.2</v>
      </c>
      <c r="C173" s="4">
        <v>85.8</v>
      </c>
      <c r="D173" s="4">
        <v>89.2</v>
      </c>
      <c r="E173" s="4">
        <v>85.6</v>
      </c>
      <c r="F173" s="4">
        <v>89.6</v>
      </c>
      <c r="G173">
        <f t="shared" si="27"/>
        <v>87.08</v>
      </c>
      <c r="H173">
        <f t="shared" si="28"/>
        <v>4.39999999999999</v>
      </c>
      <c r="I173">
        <f t="shared" si="20"/>
        <v>1</v>
      </c>
      <c r="J173" s="4">
        <v>83</v>
      </c>
      <c r="K173" t="s">
        <v>264</v>
      </c>
      <c r="L173">
        <v>85</v>
      </c>
      <c r="M173">
        <v>85</v>
      </c>
      <c r="N173">
        <v>90</v>
      </c>
      <c r="O173">
        <v>85</v>
      </c>
      <c r="P173">
        <v>90</v>
      </c>
      <c r="Q173" s="10">
        <f t="shared" si="29"/>
        <v>87</v>
      </c>
      <c r="R173" t="s">
        <v>264</v>
      </c>
      <c r="S173">
        <v>78</v>
      </c>
      <c r="T173">
        <v>82</v>
      </c>
      <c r="U173">
        <v>85</v>
      </c>
      <c r="V173">
        <v>80</v>
      </c>
      <c r="W173">
        <v>85</v>
      </c>
      <c r="X173" s="10">
        <f t="shared" si="21"/>
        <v>82</v>
      </c>
      <c r="Y173" t="s">
        <v>264</v>
      </c>
      <c r="Z173">
        <v>95</v>
      </c>
      <c r="AA173">
        <v>90</v>
      </c>
      <c r="AB173">
        <v>95</v>
      </c>
      <c r="AC173">
        <v>95</v>
      </c>
      <c r="AD173">
        <v>95</v>
      </c>
      <c r="AE173" s="10">
        <f t="shared" si="22"/>
        <v>94</v>
      </c>
      <c r="AF173" t="s">
        <v>264</v>
      </c>
      <c r="AG173">
        <v>90</v>
      </c>
      <c r="AH173">
        <v>95</v>
      </c>
      <c r="AI173">
        <v>85</v>
      </c>
      <c r="AJ173">
        <v>90</v>
      </c>
      <c r="AK173">
        <v>90</v>
      </c>
      <c r="AL173" s="10">
        <f t="shared" si="23"/>
        <v>90</v>
      </c>
    </row>
    <row r="174" spans="1:38">
      <c r="A174" t="s">
        <v>265</v>
      </c>
      <c r="B174" s="4">
        <v>84.6</v>
      </c>
      <c r="C174" s="4">
        <v>84.4</v>
      </c>
      <c r="D174" s="4">
        <v>87.8</v>
      </c>
      <c r="E174" s="4">
        <v>80.6</v>
      </c>
      <c r="F174" s="4">
        <v>89.6</v>
      </c>
      <c r="G174">
        <f t="shared" si="27"/>
        <v>85.4</v>
      </c>
      <c r="H174">
        <f t="shared" si="28"/>
        <v>9</v>
      </c>
      <c r="I174">
        <f t="shared" si="20"/>
        <v>1</v>
      </c>
      <c r="J174" s="4">
        <v>81.2</v>
      </c>
      <c r="K174" t="s">
        <v>265</v>
      </c>
      <c r="L174">
        <v>85</v>
      </c>
      <c r="M174">
        <v>85</v>
      </c>
      <c r="N174">
        <v>90</v>
      </c>
      <c r="O174">
        <v>80</v>
      </c>
      <c r="P174">
        <v>90</v>
      </c>
      <c r="Q174" s="10">
        <f t="shared" si="29"/>
        <v>86</v>
      </c>
      <c r="R174" t="s">
        <v>265</v>
      </c>
      <c r="S174">
        <v>75</v>
      </c>
      <c r="T174">
        <v>75</v>
      </c>
      <c r="U174">
        <v>78</v>
      </c>
      <c r="V174">
        <v>70</v>
      </c>
      <c r="W174">
        <v>85</v>
      </c>
      <c r="X174" s="10">
        <f t="shared" si="21"/>
        <v>76.6</v>
      </c>
      <c r="Y174" t="s">
        <v>265</v>
      </c>
      <c r="Z174">
        <v>95</v>
      </c>
      <c r="AA174">
        <v>90</v>
      </c>
      <c r="AB174">
        <v>95</v>
      </c>
      <c r="AC174">
        <v>95</v>
      </c>
      <c r="AD174">
        <v>95</v>
      </c>
      <c r="AE174" s="10">
        <f t="shared" si="22"/>
        <v>94</v>
      </c>
      <c r="AF174" t="s">
        <v>265</v>
      </c>
      <c r="AG174">
        <v>90</v>
      </c>
      <c r="AH174">
        <v>95</v>
      </c>
      <c r="AI174">
        <v>85</v>
      </c>
      <c r="AJ174">
        <v>90</v>
      </c>
      <c r="AK174">
        <v>90</v>
      </c>
      <c r="AL174" s="10">
        <f t="shared" si="23"/>
        <v>90</v>
      </c>
    </row>
    <row r="175" spans="1:38">
      <c r="A175" t="s">
        <v>266</v>
      </c>
      <c r="B175" s="4">
        <v>93</v>
      </c>
      <c r="C175" s="4">
        <v>94</v>
      </c>
      <c r="D175" s="4">
        <v>93.4</v>
      </c>
      <c r="E175" s="4">
        <v>90.8</v>
      </c>
      <c r="F175" s="4">
        <v>91.8</v>
      </c>
      <c r="G175">
        <f t="shared" si="27"/>
        <v>92.6</v>
      </c>
      <c r="H175">
        <f t="shared" si="28"/>
        <v>3.2</v>
      </c>
      <c r="I175">
        <f t="shared" si="20"/>
        <v>1</v>
      </c>
      <c r="J175" s="4">
        <v>81.8</v>
      </c>
      <c r="K175" t="s">
        <v>266</v>
      </c>
      <c r="L175">
        <v>95</v>
      </c>
      <c r="M175">
        <v>95</v>
      </c>
      <c r="N175">
        <v>95</v>
      </c>
      <c r="O175">
        <v>92</v>
      </c>
      <c r="P175">
        <v>92</v>
      </c>
      <c r="Q175" s="10">
        <f t="shared" si="29"/>
        <v>93.8</v>
      </c>
      <c r="R175" t="s">
        <v>266</v>
      </c>
      <c r="S175">
        <v>85</v>
      </c>
      <c r="T175">
        <v>92</v>
      </c>
      <c r="U175">
        <v>90</v>
      </c>
      <c r="V175">
        <v>85</v>
      </c>
      <c r="W175">
        <v>90</v>
      </c>
      <c r="X175" s="10">
        <f t="shared" si="21"/>
        <v>88.4</v>
      </c>
      <c r="Y175" t="s">
        <v>266</v>
      </c>
      <c r="Z175">
        <v>95</v>
      </c>
      <c r="AA175">
        <v>92</v>
      </c>
      <c r="AB175">
        <v>95</v>
      </c>
      <c r="AC175">
        <v>95</v>
      </c>
      <c r="AD175">
        <v>95</v>
      </c>
      <c r="AE175" s="10">
        <f t="shared" si="22"/>
        <v>94.4</v>
      </c>
      <c r="AF175" t="s">
        <v>266</v>
      </c>
      <c r="AG175">
        <v>95</v>
      </c>
      <c r="AH175">
        <v>95</v>
      </c>
      <c r="AI175">
        <v>88</v>
      </c>
      <c r="AJ175">
        <v>90</v>
      </c>
      <c r="AK175">
        <v>90</v>
      </c>
      <c r="AL175" s="10">
        <f t="shared" si="23"/>
        <v>91.6</v>
      </c>
    </row>
    <row r="176" spans="1:38">
      <c r="A176" t="s">
        <v>267</v>
      </c>
      <c r="B176" s="4">
        <v>59.2</v>
      </c>
      <c r="C176" s="4">
        <v>52.2</v>
      </c>
      <c r="D176" s="4">
        <v>65.4</v>
      </c>
      <c r="E176" s="4">
        <v>44.2</v>
      </c>
      <c r="F176" s="4">
        <v>80.4</v>
      </c>
      <c r="G176">
        <f t="shared" si="27"/>
        <v>60.28</v>
      </c>
      <c r="H176">
        <f t="shared" si="28"/>
        <v>36.2</v>
      </c>
      <c r="I176">
        <f t="shared" si="20"/>
        <v>0</v>
      </c>
      <c r="J176" s="4">
        <v>83</v>
      </c>
      <c r="K176" t="s">
        <v>267</v>
      </c>
      <c r="L176">
        <v>52</v>
      </c>
      <c r="M176">
        <v>40</v>
      </c>
      <c r="N176">
        <v>60</v>
      </c>
      <c r="O176">
        <v>35</v>
      </c>
      <c r="P176">
        <v>78</v>
      </c>
      <c r="Q176" s="10">
        <f t="shared" si="29"/>
        <v>53</v>
      </c>
      <c r="R176" t="s">
        <v>267</v>
      </c>
      <c r="S176">
        <v>58</v>
      </c>
      <c r="T176">
        <v>55</v>
      </c>
      <c r="U176">
        <v>58</v>
      </c>
      <c r="V176">
        <v>30</v>
      </c>
      <c r="W176">
        <v>75</v>
      </c>
      <c r="X176" s="10">
        <f t="shared" si="21"/>
        <v>55.2</v>
      </c>
      <c r="Y176" t="s">
        <v>267</v>
      </c>
      <c r="Z176">
        <v>90</v>
      </c>
      <c r="AA176">
        <v>90</v>
      </c>
      <c r="AB176">
        <v>95</v>
      </c>
      <c r="AC176">
        <v>90</v>
      </c>
      <c r="AD176">
        <v>95</v>
      </c>
      <c r="AE176" s="10">
        <f t="shared" si="22"/>
        <v>92</v>
      </c>
      <c r="AF176" t="s">
        <v>267</v>
      </c>
      <c r="AG176">
        <v>70</v>
      </c>
      <c r="AH176">
        <v>80</v>
      </c>
      <c r="AI176">
        <v>80</v>
      </c>
      <c r="AJ176">
        <v>80</v>
      </c>
      <c r="AK176">
        <v>90</v>
      </c>
      <c r="AL176" s="10">
        <f t="shared" si="23"/>
        <v>80</v>
      </c>
    </row>
    <row r="177" spans="1:38">
      <c r="A177" t="s">
        <v>268</v>
      </c>
      <c r="B177" s="4">
        <v>85.6</v>
      </c>
      <c r="C177" s="4">
        <v>85.8</v>
      </c>
      <c r="D177" s="4">
        <v>87.4</v>
      </c>
      <c r="E177" s="4">
        <v>83.8</v>
      </c>
      <c r="F177" s="4">
        <v>90.2</v>
      </c>
      <c r="G177">
        <f t="shared" si="27"/>
        <v>86.56</v>
      </c>
      <c r="H177">
        <f t="shared" si="28"/>
        <v>6.40000000000001</v>
      </c>
      <c r="I177">
        <f t="shared" si="20"/>
        <v>1</v>
      </c>
      <c r="J177" s="4">
        <v>69</v>
      </c>
      <c r="K177" t="s">
        <v>268</v>
      </c>
      <c r="L177">
        <v>85</v>
      </c>
      <c r="M177">
        <v>85</v>
      </c>
      <c r="N177">
        <v>88</v>
      </c>
      <c r="O177">
        <v>82</v>
      </c>
      <c r="P177">
        <v>90</v>
      </c>
      <c r="Q177" s="10">
        <f t="shared" si="29"/>
        <v>86</v>
      </c>
      <c r="R177" t="s">
        <v>268</v>
      </c>
      <c r="S177">
        <v>80</v>
      </c>
      <c r="T177">
        <v>82</v>
      </c>
      <c r="U177">
        <v>82</v>
      </c>
      <c r="V177">
        <v>80</v>
      </c>
      <c r="W177">
        <v>88</v>
      </c>
      <c r="X177" s="10">
        <f t="shared" si="21"/>
        <v>82.4</v>
      </c>
      <c r="Y177" t="s">
        <v>268</v>
      </c>
      <c r="Z177">
        <v>95</v>
      </c>
      <c r="AA177">
        <v>90</v>
      </c>
      <c r="AB177">
        <v>95</v>
      </c>
      <c r="AC177">
        <v>95</v>
      </c>
      <c r="AD177">
        <v>95</v>
      </c>
      <c r="AE177" s="10">
        <f t="shared" si="22"/>
        <v>94</v>
      </c>
      <c r="AF177" t="s">
        <v>268</v>
      </c>
      <c r="AG177">
        <v>90</v>
      </c>
      <c r="AH177">
        <v>95</v>
      </c>
      <c r="AI177">
        <v>85</v>
      </c>
      <c r="AJ177">
        <v>90</v>
      </c>
      <c r="AK177">
        <v>90</v>
      </c>
      <c r="AL177" s="10">
        <f t="shared" si="23"/>
        <v>90</v>
      </c>
    </row>
    <row r="178" spans="1:38">
      <c r="A178" t="s">
        <v>269</v>
      </c>
      <c r="B178" s="4">
        <v>86.6</v>
      </c>
      <c r="C178" s="4">
        <v>88.2</v>
      </c>
      <c r="D178" s="4">
        <v>91</v>
      </c>
      <c r="E178" s="4">
        <v>88.4</v>
      </c>
      <c r="F178" s="4">
        <v>92.2</v>
      </c>
      <c r="G178">
        <f t="shared" si="27"/>
        <v>89.28</v>
      </c>
      <c r="H178">
        <f t="shared" si="28"/>
        <v>5.60000000000001</v>
      </c>
      <c r="I178">
        <f t="shared" si="20"/>
        <v>1</v>
      </c>
      <c r="J178" s="4">
        <v>86</v>
      </c>
      <c r="K178" t="s">
        <v>269</v>
      </c>
      <c r="L178">
        <v>85</v>
      </c>
      <c r="M178">
        <v>88</v>
      </c>
      <c r="N178">
        <v>92</v>
      </c>
      <c r="O178">
        <v>88</v>
      </c>
      <c r="P178">
        <v>92</v>
      </c>
      <c r="Q178" s="10">
        <f t="shared" si="29"/>
        <v>89</v>
      </c>
      <c r="R178" t="s">
        <v>269</v>
      </c>
      <c r="S178">
        <v>85</v>
      </c>
      <c r="T178">
        <v>85</v>
      </c>
      <c r="U178">
        <v>88</v>
      </c>
      <c r="V178">
        <v>85</v>
      </c>
      <c r="W178">
        <v>92</v>
      </c>
      <c r="X178" s="10">
        <f t="shared" si="21"/>
        <v>87</v>
      </c>
      <c r="Y178" t="s">
        <v>269</v>
      </c>
      <c r="Z178">
        <v>95</v>
      </c>
      <c r="AA178">
        <v>90</v>
      </c>
      <c r="AB178">
        <v>95</v>
      </c>
      <c r="AC178">
        <v>95</v>
      </c>
      <c r="AD178">
        <v>95</v>
      </c>
      <c r="AE178" s="10">
        <f t="shared" si="22"/>
        <v>94</v>
      </c>
      <c r="AF178" t="s">
        <v>269</v>
      </c>
      <c r="AG178">
        <v>90</v>
      </c>
      <c r="AH178">
        <v>95</v>
      </c>
      <c r="AI178">
        <v>85</v>
      </c>
      <c r="AJ178">
        <v>90</v>
      </c>
      <c r="AK178">
        <v>90</v>
      </c>
      <c r="AL178" s="10">
        <f t="shared" si="23"/>
        <v>90</v>
      </c>
    </row>
    <row r="179" spans="1:38">
      <c r="A179" t="s">
        <v>270</v>
      </c>
      <c r="B179" s="4">
        <v>85</v>
      </c>
      <c r="C179" s="4">
        <v>85</v>
      </c>
      <c r="D179" s="4">
        <v>85</v>
      </c>
      <c r="E179" s="4">
        <v>79.8</v>
      </c>
      <c r="F179" s="4">
        <v>82</v>
      </c>
      <c r="G179">
        <f t="shared" si="27"/>
        <v>83.36</v>
      </c>
      <c r="H179">
        <f t="shared" si="28"/>
        <v>5.2</v>
      </c>
      <c r="I179">
        <f t="shared" si="20"/>
        <v>1</v>
      </c>
      <c r="J179" s="4">
        <v>82.2</v>
      </c>
      <c r="K179" t="s">
        <v>270</v>
      </c>
      <c r="L179">
        <v>88</v>
      </c>
      <c r="M179">
        <v>88</v>
      </c>
      <c r="N179">
        <v>88</v>
      </c>
      <c r="O179">
        <v>80</v>
      </c>
      <c r="P179">
        <v>82</v>
      </c>
      <c r="Q179" s="10">
        <f t="shared" si="29"/>
        <v>85.2</v>
      </c>
      <c r="R179" t="s">
        <v>270</v>
      </c>
      <c r="S179">
        <v>82</v>
      </c>
      <c r="T179">
        <v>85</v>
      </c>
      <c r="U179">
        <v>82</v>
      </c>
      <c r="V179">
        <v>78</v>
      </c>
      <c r="W179">
        <v>85</v>
      </c>
      <c r="X179" s="10">
        <f t="shared" si="21"/>
        <v>82.4</v>
      </c>
      <c r="Y179" t="s">
        <v>270</v>
      </c>
      <c r="Z179">
        <v>95</v>
      </c>
      <c r="AA179">
        <v>90</v>
      </c>
      <c r="AB179">
        <v>95</v>
      </c>
      <c r="AC179">
        <v>95</v>
      </c>
      <c r="AD179">
        <v>95</v>
      </c>
      <c r="AE179" s="10">
        <f t="shared" si="22"/>
        <v>94</v>
      </c>
      <c r="AF179" t="s">
        <v>270</v>
      </c>
      <c r="AG179">
        <v>55</v>
      </c>
      <c r="AH179">
        <v>55</v>
      </c>
      <c r="AI179">
        <v>55</v>
      </c>
      <c r="AJ179">
        <v>60</v>
      </c>
      <c r="AK179">
        <v>55</v>
      </c>
      <c r="AL179" s="10">
        <f t="shared" si="23"/>
        <v>56</v>
      </c>
    </row>
    <row r="180" spans="1:38">
      <c r="A180" t="s">
        <v>271</v>
      </c>
      <c r="B180" s="4">
        <v>85.6</v>
      </c>
      <c r="C180" s="4">
        <v>89.4</v>
      </c>
      <c r="D180" s="4">
        <v>89.2</v>
      </c>
      <c r="E180" s="4">
        <v>84.8</v>
      </c>
      <c r="F180" s="4">
        <v>90.2</v>
      </c>
      <c r="G180">
        <f t="shared" si="27"/>
        <v>87.84</v>
      </c>
      <c r="H180">
        <f t="shared" si="28"/>
        <v>5.40000000000001</v>
      </c>
      <c r="I180">
        <f t="shared" si="20"/>
        <v>1</v>
      </c>
      <c r="J180" s="4">
        <v>82.4</v>
      </c>
      <c r="K180" t="s">
        <v>271</v>
      </c>
      <c r="L180">
        <v>85</v>
      </c>
      <c r="M180">
        <v>90</v>
      </c>
      <c r="N180">
        <v>90</v>
      </c>
      <c r="O180">
        <v>85</v>
      </c>
      <c r="P180">
        <v>90</v>
      </c>
      <c r="Q180" s="10">
        <f t="shared" si="29"/>
        <v>88</v>
      </c>
      <c r="R180" t="s">
        <v>271</v>
      </c>
      <c r="S180">
        <v>80</v>
      </c>
      <c r="T180">
        <v>85</v>
      </c>
      <c r="U180">
        <v>85</v>
      </c>
      <c r="V180">
        <v>78</v>
      </c>
      <c r="W180">
        <v>88</v>
      </c>
      <c r="X180" s="10">
        <f t="shared" si="21"/>
        <v>83.2</v>
      </c>
      <c r="Y180" t="s">
        <v>271</v>
      </c>
      <c r="Z180">
        <v>95</v>
      </c>
      <c r="AA180">
        <v>90</v>
      </c>
      <c r="AB180">
        <v>95</v>
      </c>
      <c r="AC180">
        <v>92</v>
      </c>
      <c r="AD180">
        <v>95</v>
      </c>
      <c r="AE180" s="10">
        <f t="shared" si="22"/>
        <v>93.4</v>
      </c>
      <c r="AF180" t="s">
        <v>271</v>
      </c>
      <c r="AG180">
        <v>90</v>
      </c>
      <c r="AH180">
        <v>95</v>
      </c>
      <c r="AI180">
        <v>85</v>
      </c>
      <c r="AJ180">
        <v>90</v>
      </c>
      <c r="AK180">
        <v>90</v>
      </c>
      <c r="AL180" s="10">
        <f t="shared" si="23"/>
        <v>90</v>
      </c>
    </row>
    <row r="181" spans="1:38">
      <c r="A181" t="s">
        <v>272</v>
      </c>
      <c r="B181" s="4">
        <v>59.2</v>
      </c>
      <c r="C181" s="4">
        <v>52.2</v>
      </c>
      <c r="D181" s="4">
        <v>65.4</v>
      </c>
      <c r="E181" s="4">
        <v>44.2</v>
      </c>
      <c r="F181" s="4">
        <v>80.4</v>
      </c>
      <c r="G181">
        <f t="shared" si="27"/>
        <v>60.28</v>
      </c>
      <c r="H181">
        <f t="shared" si="28"/>
        <v>36.2</v>
      </c>
      <c r="I181">
        <f t="shared" si="20"/>
        <v>0</v>
      </c>
      <c r="J181" s="4">
        <v>82.4</v>
      </c>
      <c r="K181" t="s">
        <v>272</v>
      </c>
      <c r="L181">
        <v>52</v>
      </c>
      <c r="M181">
        <v>40</v>
      </c>
      <c r="N181">
        <v>60</v>
      </c>
      <c r="O181">
        <v>35</v>
      </c>
      <c r="P181">
        <v>78</v>
      </c>
      <c r="Q181" s="10">
        <f t="shared" si="29"/>
        <v>53</v>
      </c>
      <c r="R181" t="s">
        <v>272</v>
      </c>
      <c r="S181">
        <v>58</v>
      </c>
      <c r="T181">
        <v>55</v>
      </c>
      <c r="U181">
        <v>58</v>
      </c>
      <c r="V181">
        <v>30</v>
      </c>
      <c r="W181">
        <v>75</v>
      </c>
      <c r="X181" s="10">
        <f t="shared" si="21"/>
        <v>55.2</v>
      </c>
      <c r="Y181" t="s">
        <v>272</v>
      </c>
      <c r="Z181">
        <v>90</v>
      </c>
      <c r="AA181">
        <v>90</v>
      </c>
      <c r="AB181">
        <v>95</v>
      </c>
      <c r="AC181">
        <v>90</v>
      </c>
      <c r="AD181">
        <v>95</v>
      </c>
      <c r="AE181" s="10">
        <f t="shared" si="22"/>
        <v>92</v>
      </c>
      <c r="AF181" t="s">
        <v>272</v>
      </c>
      <c r="AG181">
        <v>70</v>
      </c>
      <c r="AH181">
        <v>80</v>
      </c>
      <c r="AI181">
        <v>80</v>
      </c>
      <c r="AJ181">
        <v>80</v>
      </c>
      <c r="AK181">
        <v>90</v>
      </c>
      <c r="AL181" s="10">
        <f t="shared" si="23"/>
        <v>80</v>
      </c>
    </row>
    <row r="182" spans="1:38">
      <c r="A182" t="s">
        <v>273</v>
      </c>
      <c r="B182" s="4">
        <v>85.2</v>
      </c>
      <c r="C182" s="4">
        <v>85.8</v>
      </c>
      <c r="D182" s="4">
        <v>89.2</v>
      </c>
      <c r="E182" s="4">
        <v>85.6</v>
      </c>
      <c r="F182" s="4">
        <v>90.2</v>
      </c>
      <c r="G182">
        <f t="shared" si="27"/>
        <v>87.2</v>
      </c>
      <c r="H182">
        <f t="shared" si="28"/>
        <v>5</v>
      </c>
      <c r="I182">
        <f t="shared" si="20"/>
        <v>1</v>
      </c>
      <c r="J182" s="4">
        <v>83</v>
      </c>
      <c r="K182" t="s">
        <v>273</v>
      </c>
      <c r="L182">
        <v>85</v>
      </c>
      <c r="M182">
        <v>85</v>
      </c>
      <c r="N182">
        <v>90</v>
      </c>
      <c r="O182">
        <v>85</v>
      </c>
      <c r="P182">
        <v>90</v>
      </c>
      <c r="Q182" s="10">
        <f t="shared" si="29"/>
        <v>87</v>
      </c>
      <c r="R182" t="s">
        <v>273</v>
      </c>
      <c r="S182">
        <v>78</v>
      </c>
      <c r="T182">
        <v>82</v>
      </c>
      <c r="U182">
        <v>85</v>
      </c>
      <c r="V182">
        <v>80</v>
      </c>
      <c r="W182">
        <v>88</v>
      </c>
      <c r="X182" s="10">
        <f t="shared" si="21"/>
        <v>82.6</v>
      </c>
      <c r="Y182" t="s">
        <v>273</v>
      </c>
      <c r="Z182">
        <v>95</v>
      </c>
      <c r="AA182">
        <v>90</v>
      </c>
      <c r="AB182">
        <v>95</v>
      </c>
      <c r="AC182">
        <v>95</v>
      </c>
      <c r="AD182">
        <v>95</v>
      </c>
      <c r="AE182" s="10">
        <f t="shared" si="22"/>
        <v>94</v>
      </c>
      <c r="AF182" t="s">
        <v>273</v>
      </c>
      <c r="AG182">
        <v>90</v>
      </c>
      <c r="AH182">
        <v>95</v>
      </c>
      <c r="AI182">
        <v>85</v>
      </c>
      <c r="AJ182">
        <v>90</v>
      </c>
      <c r="AK182">
        <v>90</v>
      </c>
      <c r="AL182" s="10">
        <f t="shared" si="23"/>
        <v>90</v>
      </c>
    </row>
    <row r="183" spans="1:38">
      <c r="A183" t="s">
        <v>274</v>
      </c>
      <c r="B183" s="4">
        <v>86.6</v>
      </c>
      <c r="C183" s="4">
        <v>86.4</v>
      </c>
      <c r="D183" s="4">
        <v>91</v>
      </c>
      <c r="E183" s="4">
        <v>88.4</v>
      </c>
      <c r="F183" s="4">
        <v>92.2</v>
      </c>
      <c r="G183">
        <f t="shared" si="27"/>
        <v>88.92</v>
      </c>
      <c r="H183">
        <f t="shared" si="28"/>
        <v>5.8</v>
      </c>
      <c r="I183">
        <f t="shared" si="20"/>
        <v>1</v>
      </c>
      <c r="J183" s="4">
        <v>86</v>
      </c>
      <c r="K183" t="s">
        <v>274</v>
      </c>
      <c r="L183">
        <v>85</v>
      </c>
      <c r="M183">
        <v>85</v>
      </c>
      <c r="N183">
        <v>92</v>
      </c>
      <c r="O183">
        <v>88</v>
      </c>
      <c r="P183">
        <v>92</v>
      </c>
      <c r="Q183" s="10">
        <f t="shared" si="29"/>
        <v>88.4</v>
      </c>
      <c r="R183" t="s">
        <v>274</v>
      </c>
      <c r="S183">
        <v>85</v>
      </c>
      <c r="T183">
        <v>85</v>
      </c>
      <c r="U183">
        <v>88</v>
      </c>
      <c r="V183">
        <v>85</v>
      </c>
      <c r="W183">
        <v>92</v>
      </c>
      <c r="X183" s="10">
        <f t="shared" si="21"/>
        <v>87</v>
      </c>
      <c r="Y183" t="s">
        <v>274</v>
      </c>
      <c r="Z183">
        <v>95</v>
      </c>
      <c r="AA183">
        <v>90</v>
      </c>
      <c r="AB183">
        <v>95</v>
      </c>
      <c r="AC183">
        <v>95</v>
      </c>
      <c r="AD183">
        <v>95</v>
      </c>
      <c r="AE183" s="10">
        <f t="shared" si="22"/>
        <v>94</v>
      </c>
      <c r="AF183" t="s">
        <v>274</v>
      </c>
      <c r="AG183">
        <v>90</v>
      </c>
      <c r="AH183">
        <v>95</v>
      </c>
      <c r="AI183">
        <v>85</v>
      </c>
      <c r="AJ183">
        <v>90</v>
      </c>
      <c r="AK183">
        <v>90</v>
      </c>
      <c r="AL183" s="10">
        <f t="shared" si="23"/>
        <v>90</v>
      </c>
    </row>
    <row r="184" spans="1:38">
      <c r="A184" t="s">
        <v>275</v>
      </c>
      <c r="B184" s="4">
        <v>81</v>
      </c>
      <c r="C184" s="4">
        <v>82.6</v>
      </c>
      <c r="D184" s="4">
        <v>83.8</v>
      </c>
      <c r="E184" s="4">
        <v>79.8</v>
      </c>
      <c r="F184" s="4">
        <v>79.6</v>
      </c>
      <c r="G184">
        <f t="shared" si="27"/>
        <v>81.36</v>
      </c>
      <c r="H184">
        <f t="shared" si="28"/>
        <v>4.2</v>
      </c>
      <c r="I184">
        <f t="shared" si="20"/>
        <v>1</v>
      </c>
      <c r="J184" s="4">
        <v>79</v>
      </c>
      <c r="K184" t="s">
        <v>275</v>
      </c>
      <c r="L184">
        <v>82</v>
      </c>
      <c r="M184">
        <v>85</v>
      </c>
      <c r="N184">
        <v>86</v>
      </c>
      <c r="O184">
        <v>80</v>
      </c>
      <c r="P184">
        <v>78</v>
      </c>
      <c r="Q184" s="10">
        <f t="shared" si="29"/>
        <v>82.2</v>
      </c>
      <c r="R184" t="s">
        <v>275</v>
      </c>
      <c r="S184">
        <v>80</v>
      </c>
      <c r="T184">
        <v>82</v>
      </c>
      <c r="U184">
        <v>82</v>
      </c>
      <c r="V184">
        <v>78</v>
      </c>
      <c r="W184">
        <v>85</v>
      </c>
      <c r="X184" s="10">
        <f t="shared" si="21"/>
        <v>81.4</v>
      </c>
      <c r="Y184" t="s">
        <v>275</v>
      </c>
      <c r="Z184">
        <v>95</v>
      </c>
      <c r="AA184">
        <v>90</v>
      </c>
      <c r="AB184">
        <v>95</v>
      </c>
      <c r="AC184">
        <v>95</v>
      </c>
      <c r="AD184">
        <v>95</v>
      </c>
      <c r="AE184" s="10">
        <f t="shared" si="22"/>
        <v>94</v>
      </c>
      <c r="AF184" t="s">
        <v>275</v>
      </c>
      <c r="AG184">
        <v>55</v>
      </c>
      <c r="AH184">
        <v>55</v>
      </c>
      <c r="AI184">
        <v>55</v>
      </c>
      <c r="AJ184">
        <v>60</v>
      </c>
      <c r="AK184">
        <v>55</v>
      </c>
      <c r="AL184" s="10">
        <f t="shared" si="23"/>
        <v>56</v>
      </c>
    </row>
    <row r="185" spans="1:38">
      <c r="A185" t="s">
        <v>276</v>
      </c>
      <c r="B185">
        <f>AVERAGE(B5:B184)</f>
        <v>79.1333333333334</v>
      </c>
      <c r="C185">
        <f>AVERAGE(C5:C184)</f>
        <v>75.6755555555556</v>
      </c>
      <c r="D185">
        <f>AVERAGE(D5:D184)</f>
        <v>78.24</v>
      </c>
      <c r="E185">
        <f>AVERAGE(E5:E184)</f>
        <v>72.2444444444444</v>
      </c>
      <c r="F185">
        <f>AVERAGE(F5:F184)</f>
        <v>78.5222222222223</v>
      </c>
      <c r="K185" t="s">
        <v>276</v>
      </c>
      <c r="L185">
        <f>AVERAGE(L5:L184)</f>
        <v>78.4555555555555</v>
      </c>
      <c r="M185">
        <f>AVERAGE(M5:M184)</f>
        <v>75.0055555555556</v>
      </c>
      <c r="N185">
        <f>AVERAGE(N5:N184)</f>
        <v>77.3</v>
      </c>
      <c r="O185">
        <f>AVERAGE(O5:O184)</f>
        <v>70.8777777777778</v>
      </c>
      <c r="P185">
        <f>AVERAGE(P5:P184)</f>
        <v>76.8166666666667</v>
      </c>
      <c r="R185" t="s">
        <v>276</v>
      </c>
      <c r="S185">
        <f>AVERAGE(S5:S184)</f>
        <v>74.3055555555556</v>
      </c>
      <c r="T185">
        <f>AVERAGE(T5:T184)</f>
        <v>68.9555555555555</v>
      </c>
      <c r="U185">
        <f>AVERAGE(U5:U184)</f>
        <v>74.0444444444445</v>
      </c>
      <c r="V185">
        <f>AVERAGE(V5:V184)</f>
        <v>67.5222222222222</v>
      </c>
      <c r="W185">
        <f>AVERAGE(W5:W184)</f>
        <v>74.8833333333333</v>
      </c>
      <c r="Y185" t="s">
        <v>276</v>
      </c>
      <c r="Z185">
        <f>AVERAGE(Z5:Z184)</f>
        <v>89.3888888888889</v>
      </c>
      <c r="AA185">
        <f>AVERAGE(AA5:AA184)</f>
        <v>87.3722222222222</v>
      </c>
      <c r="AB185">
        <f>AVERAGE(AB5:AB184)</f>
        <v>88.0222222222222</v>
      </c>
      <c r="AC185">
        <f>AVERAGE(AC5:AC184)</f>
        <v>85.2833333333333</v>
      </c>
      <c r="AD185">
        <f>AVERAGE(AD5:AD184)</f>
        <v>89.2833333333333</v>
      </c>
      <c r="AF185" t="s">
        <v>276</v>
      </c>
      <c r="AG185">
        <f>AVERAGE(AG5:AG184)</f>
        <v>80.9611111111111</v>
      </c>
      <c r="AH185">
        <f>AVERAGE(AH5:AH184)</f>
        <v>79.9388888888889</v>
      </c>
      <c r="AI185">
        <f>AVERAGE(AI5:AI184)</f>
        <v>81.05</v>
      </c>
      <c r="AJ185">
        <f>AVERAGE(AJ5:AJ184)</f>
        <v>74.7</v>
      </c>
      <c r="AK185">
        <f>AVERAGE(AK5:AK184)</f>
        <v>84.2555555555556</v>
      </c>
    </row>
    <row r="186" spans="1:38">
      <c r="A186" t="s">
        <v>277</v>
      </c>
      <c r="B186" s="10">
        <f>AVERAGE(B5:F184)</f>
        <v>76.7631111111111</v>
      </c>
      <c r="K186" t="s">
        <v>277</v>
      </c>
      <c r="L186">
        <f>AVERAGE(L5:P184)</f>
        <v>75.6911111111111</v>
      </c>
      <c r="R186" t="s">
        <v>277</v>
      </c>
      <c r="S186">
        <f>AVERAGE(S5:W184)</f>
        <v>71.9422222222222</v>
      </c>
      <c r="Y186" t="s">
        <v>277</v>
      </c>
      <c r="Z186">
        <f>AVERAGE(Z5:AD184)</f>
        <v>87.87</v>
      </c>
      <c r="AF186" t="s">
        <v>277</v>
      </c>
      <c r="AG186">
        <f>AVERAGE(AG5:AK184)</f>
        <v>80.1811111111111</v>
      </c>
    </row>
    <row r="187" spans="1:38">
      <c r="A187" t="s">
        <v>278</v>
      </c>
      <c r="B187" s="10">
        <f>5*DEVSQ(G5:G184)</f>
        <v>386102.591288889</v>
      </c>
      <c r="K187" t="s">
        <v>278</v>
      </c>
      <c r="L187">
        <f>5*DEVSQ(Q5:Q184)</f>
        <v>500509.728888889</v>
      </c>
      <c r="R187" t="s">
        <v>278</v>
      </c>
      <c r="S187">
        <f>5*DEVSQ(X5:X184)</f>
        <v>338766.595555556</v>
      </c>
      <c r="Y187" t="s">
        <v>278</v>
      </c>
      <c r="Z187">
        <f>5*DEVSQ(AE5:AE184)</f>
        <v>253261.39</v>
      </c>
      <c r="AF187" t="s">
        <v>278</v>
      </c>
      <c r="AG187">
        <f>5*DEVSQ(AL5:AL184)</f>
        <v>237545.078888889</v>
      </c>
    </row>
    <row r="188" spans="1:38">
      <c r="A188" t="s">
        <v>279</v>
      </c>
      <c r="B188" s="10">
        <f>180*SUM((B185-B186)^2+(C185-B186)^2+(D185-B186)^2+(E185-B186)^2+(F185-B186)^2)</f>
        <v>5849.05528888905</v>
      </c>
      <c r="K188" t="s">
        <v>279</v>
      </c>
      <c r="L188">
        <f>180*SUM((L185-L186)^2+(M185-L186)^2+(N185-L186)^2+(O185-L186)^2+(P185-L186)^2)</f>
        <v>6324.42888888886</v>
      </c>
      <c r="R188" t="s">
        <v>279</v>
      </c>
      <c r="S188">
        <f>180*SUM((S185-S186)^2+(T185-S186)^2+(U185-S186)^2+(V185-S186)^2+(W185-S186)^2)</f>
        <v>8480.05111111124</v>
      </c>
      <c r="Y188" t="s">
        <v>279</v>
      </c>
      <c r="Z188">
        <f>180*SUM((Z185-Z186)^2+(AA185-Z186)^2+(AB185-Z186)^2+(AC185-Z186)^2+(AD185-Z186)^2)</f>
        <v>2027.94000000002</v>
      </c>
      <c r="AF188" t="s">
        <v>279</v>
      </c>
      <c r="AG188">
        <f>180*SUM((AG185-AG186)^2+(AH185-AG186)^2+(AI185-AG186)^2+(AJ185-AG186)^2+(AK185-AG186)^2)</f>
        <v>8651.82888888895</v>
      </c>
    </row>
    <row r="189" spans="1:38">
      <c r="A189" t="s">
        <v>280</v>
      </c>
      <c r="B189" s="10">
        <f>DEVSQ(B5:F184)</f>
        <v>437228.055288889</v>
      </c>
      <c r="K189" t="s">
        <v>280</v>
      </c>
      <c r="L189">
        <f>DEVSQ(L5:P184)</f>
        <v>564416.128888883</v>
      </c>
      <c r="R189" t="s">
        <v>280</v>
      </c>
      <c r="S189">
        <f>DEVSQ(S5:W184)</f>
        <v>396316.995555557</v>
      </c>
      <c r="Y189" t="s">
        <v>280</v>
      </c>
      <c r="Z189">
        <f>DEVSQ(Z5:AD184)</f>
        <v>327587.789999999</v>
      </c>
      <c r="AF189" t="s">
        <v>280</v>
      </c>
      <c r="AG189">
        <f>DEVSQ(AG5:AK184)</f>
        <v>306929.478888891</v>
      </c>
    </row>
    <row r="190" spans="1:38">
      <c r="A190" t="s">
        <v>281</v>
      </c>
      <c r="B190" s="10">
        <f>B189-B187-B188</f>
        <v>45276.4087111109</v>
      </c>
      <c r="K190" t="s">
        <v>281</v>
      </c>
      <c r="L190">
        <f>L189-L187-L188</f>
        <v>57581.9711111058</v>
      </c>
      <c r="R190" t="s">
        <v>281</v>
      </c>
      <c r="S190">
        <f>S189-S187-S188</f>
        <v>49070.3488888901</v>
      </c>
      <c r="Y190" t="s">
        <v>281</v>
      </c>
      <c r="Z190">
        <f>Z189-Z187-Z188</f>
        <v>72298.4599999984</v>
      </c>
      <c r="AF190" t="s">
        <v>281</v>
      </c>
      <c r="AG190">
        <f>AG189-AG187-AG188</f>
        <v>60732.571111113</v>
      </c>
    </row>
    <row r="191" spans="1:38">
      <c r="A191" t="s">
        <v>282</v>
      </c>
      <c r="B191" s="10">
        <f>B187/(180-1)</f>
        <v>2156.9977166977</v>
      </c>
      <c r="K191" t="s">
        <v>282</v>
      </c>
      <c r="L191">
        <f>L187/(180-1)</f>
        <v>2796.14373680943</v>
      </c>
      <c r="R191" t="s">
        <v>282</v>
      </c>
      <c r="S191">
        <f>S187/(180-1)</f>
        <v>1892.55081315953</v>
      </c>
      <c r="Y191" t="s">
        <v>282</v>
      </c>
      <c r="Z191">
        <f>Z187/(180-1)</f>
        <v>1414.86810055866</v>
      </c>
      <c r="AF191" t="s">
        <v>282</v>
      </c>
      <c r="AG191">
        <f>AG187/(180-1)</f>
        <v>1327.06747982619</v>
      </c>
    </row>
    <row r="192" spans="1:38">
      <c r="A192" t="s">
        <v>283</v>
      </c>
      <c r="B192" s="10">
        <f>B188/(5-1)</f>
        <v>1462.26382222226</v>
      </c>
      <c r="K192" t="s">
        <v>283</v>
      </c>
      <c r="L192">
        <f>L188/(5-1)</f>
        <v>1581.10722222221</v>
      </c>
      <c r="R192" t="s">
        <v>283</v>
      </c>
      <c r="S192">
        <f>S188/(5-1)</f>
        <v>2120.01277777781</v>
      </c>
      <c r="Y192" t="s">
        <v>283</v>
      </c>
      <c r="Z192">
        <f>Z188/(5-1)</f>
        <v>506.985000000005</v>
      </c>
      <c r="AF192" t="s">
        <v>283</v>
      </c>
      <c r="AG192">
        <f>AG188/(5-1)</f>
        <v>2162.95722222224</v>
      </c>
    </row>
    <row r="193" spans="1:37">
      <c r="A193" t="s">
        <v>284</v>
      </c>
      <c r="B193" s="10">
        <f>B190/((180-1)*(5-1))</f>
        <v>63.2352076970823</v>
      </c>
      <c r="K193" t="s">
        <v>284</v>
      </c>
      <c r="L193">
        <f>L190/((180-1)*(5-1))</f>
        <v>80.4217473618795</v>
      </c>
      <c r="R193" t="s">
        <v>284</v>
      </c>
      <c r="S193">
        <f>S190/((180-1)*(5-1))</f>
        <v>68.5340068280588</v>
      </c>
      <c r="Y193" t="s">
        <v>284</v>
      </c>
      <c r="Z193">
        <f>Z190/((180-1)*(5-1))</f>
        <v>100.975502793294</v>
      </c>
      <c r="AF193" t="s">
        <v>284</v>
      </c>
      <c r="AG193">
        <f>AG190/((180-1)*(5-1))</f>
        <v>84.8220266914986</v>
      </c>
    </row>
    <row r="194" spans="1:37">
      <c r="A194" t="s">
        <v>285</v>
      </c>
      <c r="B194" s="10">
        <f>(B191-B193)/(B191+(5-1)*B193)</f>
        <v>0.868803277654015</v>
      </c>
      <c r="K194" t="s">
        <v>286</v>
      </c>
      <c r="L194">
        <f>(L191-L193)/(L191+(5-1)*L193)</f>
        <v>0.871029323874763</v>
      </c>
      <c r="R194" t="s">
        <v>287</v>
      </c>
      <c r="S194">
        <f>(S191-S193)/(S191+(5-1)*S193)</f>
        <v>0.841846072196717</v>
      </c>
      <c r="Y194" t="s">
        <v>288</v>
      </c>
      <c r="Z194">
        <f>(Z191-Z193)/(Z191+(5-1)*Z193)</f>
        <v>0.722407185652659</v>
      </c>
      <c r="AF194" t="s">
        <v>289</v>
      </c>
      <c r="AG194">
        <f>(AG191-AG193)/(AG191+(5-1)*AG193)</f>
        <v>0.745486415462604</v>
      </c>
    </row>
    <row r="195" spans="1:37">
      <c r="A195" t="s">
        <v>290</v>
      </c>
      <c r="B195" s="10">
        <f>(B191-B193)/(B191+(5-1)*B193+5*(B192-B193)/180)</f>
        <v>0.855015567338301</v>
      </c>
      <c r="K195" t="s">
        <v>291</v>
      </c>
      <c r="L195">
        <f>(L191-L193)/(L191+(5-1)*L193+5*(L192-L193)/180)</f>
        <v>0.859537225480504</v>
      </c>
      <c r="R195" t="s">
        <v>292</v>
      </c>
      <c r="S195">
        <f>(S191-S193)/(S191+(5-1)*S193+5*(S192-S193)/180)</f>
        <v>0.820272283630664</v>
      </c>
      <c r="Y195" t="s">
        <v>293</v>
      </c>
      <c r="Z195">
        <f>(Z191-Z193)/(Z191+(5-1)*Z193+5*(Z192-Z193)/180)</f>
        <v>0.717955205375936</v>
      </c>
      <c r="AF195" t="s">
        <v>294</v>
      </c>
      <c r="AG195">
        <f>(AG191-AG193)/(AG191+(5-1)*AG193+5*(AG192-AG193)/180)</f>
        <v>0.720525918782794</v>
      </c>
    </row>
    <row r="196" spans="1:37">
      <c r="A196" t="s">
        <v>295</v>
      </c>
      <c r="B196" s="10">
        <f>B191/B193</f>
        <v>34.1107081838086</v>
      </c>
      <c r="K196" t="s">
        <v>295</v>
      </c>
      <c r="L196">
        <f>L191/L193</f>
        <v>34.7685026567183</v>
      </c>
      <c r="R196" t="s">
        <v>295</v>
      </c>
      <c r="S196">
        <f>S191/S193</f>
        <v>27.6147696705906</v>
      </c>
      <c r="Y196" t="s">
        <v>295</v>
      </c>
      <c r="Z196">
        <f>Z191/Z193</f>
        <v>14.0119936164619</v>
      </c>
      <c r="AF196" t="s">
        <v>295</v>
      </c>
      <c r="AG196">
        <f>AG191/AG193</f>
        <v>15.6453168073052</v>
      </c>
    </row>
    <row r="197" spans="1:37">
      <c r="A197" t="s">
        <v>296</v>
      </c>
      <c r="B197" s="10">
        <f>FINV(0.975,179,716)</f>
        <v>0.786315954650894</v>
      </c>
      <c r="K197" t="s">
        <v>296</v>
      </c>
      <c r="L197">
        <f>FINV(0.975,179,716)</f>
        <v>0.786315954650894</v>
      </c>
      <c r="R197" t="s">
        <v>296</v>
      </c>
      <c r="S197">
        <f>FINV(0.975,179,716)</f>
        <v>0.786315954650894</v>
      </c>
      <c r="Y197" t="s">
        <v>296</v>
      </c>
      <c r="Z197">
        <f>FINV(0.975,179,716)</f>
        <v>0.786315954650894</v>
      </c>
      <c r="AF197" t="s">
        <v>296</v>
      </c>
      <c r="AG197">
        <f>FINV(0.975,179,716)</f>
        <v>0.786315954650894</v>
      </c>
    </row>
    <row r="198" spans="1:37">
      <c r="A198" t="s">
        <v>297</v>
      </c>
      <c r="B198" s="10">
        <f>FINV(0.025,179,716)</f>
        <v>1.25110160623395</v>
      </c>
      <c r="K198" t="s">
        <v>297</v>
      </c>
      <c r="L198">
        <f>FINV(0.025,179,716)</f>
        <v>1.25110160623395</v>
      </c>
      <c r="R198" t="s">
        <v>297</v>
      </c>
      <c r="S198">
        <f>FINV(0.025,179,716)</f>
        <v>1.25110160623395</v>
      </c>
      <c r="Y198" t="s">
        <v>297</v>
      </c>
      <c r="Z198">
        <f>FINV(0.025,179,716)</f>
        <v>1.25110160623395</v>
      </c>
      <c r="AF198" t="s">
        <v>297</v>
      </c>
      <c r="AG198">
        <f>FINV(0.025,179,716)</f>
        <v>1.25110160623395</v>
      </c>
    </row>
    <row r="199" spans="1:37">
      <c r="A199" t="s">
        <v>298</v>
      </c>
      <c r="B199" s="10">
        <f>(B196-B198)/(B196+4*B198)</f>
        <v>0.840074403622703</v>
      </c>
      <c r="K199" t="s">
        <v>298</v>
      </c>
      <c r="L199">
        <f>(L196-L198)/(L196+4*L198)</f>
        <v>0.842719374176851</v>
      </c>
      <c r="R199" t="s">
        <v>298</v>
      </c>
      <c r="S199">
        <f>(S196-S198)/(S196+4*S198)</f>
        <v>0.808226056573278</v>
      </c>
      <c r="Y199" t="s">
        <v>298</v>
      </c>
      <c r="Z199">
        <f>(Z196-Z198)/(Z196+4*Z198)</f>
        <v>0.671046674578161</v>
      </c>
      <c r="AF199" t="s">
        <v>298</v>
      </c>
      <c r="AG199">
        <f>(AG196-AG198)/(AG196+4*AG198)</f>
        <v>0.697065768833025</v>
      </c>
    </row>
    <row r="200" spans="1:37">
      <c r="A200" t="s">
        <v>299</v>
      </c>
      <c r="B200" s="10">
        <f>(B196-B197)/(B196+4*B197)</f>
        <v>0.894471152893289</v>
      </c>
      <c r="K200" t="s">
        <v>299</v>
      </c>
      <c r="L200">
        <f>(L196-L197)/(L196+4*L197)</f>
        <v>0.89630205229508</v>
      </c>
      <c r="R200" t="s">
        <v>299</v>
      </c>
      <c r="S200">
        <f>(S196-S197)/(S196+4*S197)</f>
        <v>0.872185452118067</v>
      </c>
      <c r="Y200" t="s">
        <v>299</v>
      </c>
      <c r="Z200">
        <f>(Z196-Z197)/(Z196+4*Z197)</f>
        <v>0.770850336183729</v>
      </c>
      <c r="AF200" t="s">
        <v>299</v>
      </c>
      <c r="AG200">
        <f>(AG196-AG197)/(AG196+4*AG197)</f>
        <v>0.79076858498808</v>
      </c>
    </row>
    <row r="202" ht="16.5" spans="1:37">
      <c r="A202" s="7" t="s">
        <v>300</v>
      </c>
      <c r="B202" s="3" t="s">
        <v>87</v>
      </c>
      <c r="C202" s="3" t="s">
        <v>88</v>
      </c>
      <c r="D202" s="3" t="s">
        <v>89</v>
      </c>
      <c r="E202" s="3" t="s">
        <v>90</v>
      </c>
      <c r="F202" s="3" t="s">
        <v>91</v>
      </c>
      <c r="K202" s="7" t="s">
        <v>300</v>
      </c>
      <c r="L202" s="3" t="s">
        <v>87</v>
      </c>
      <c r="M202" s="3" t="s">
        <v>88</v>
      </c>
      <c r="N202" s="3" t="s">
        <v>89</v>
      </c>
      <c r="O202" s="3" t="s">
        <v>90</v>
      </c>
      <c r="P202" s="3" t="s">
        <v>91</v>
      </c>
      <c r="R202" s="7" t="s">
        <v>300</v>
      </c>
      <c r="S202" s="3" t="s">
        <v>87</v>
      </c>
      <c r="T202" s="3" t="s">
        <v>88</v>
      </c>
      <c r="U202" s="3" t="s">
        <v>89</v>
      </c>
      <c r="V202" s="3" t="s">
        <v>90</v>
      </c>
      <c r="W202" s="3" t="s">
        <v>91</v>
      </c>
      <c r="Y202" s="7" t="s">
        <v>300</v>
      </c>
      <c r="Z202" s="3" t="s">
        <v>87</v>
      </c>
      <c r="AA202" s="3" t="s">
        <v>88</v>
      </c>
      <c r="AB202" s="3" t="s">
        <v>89</v>
      </c>
      <c r="AC202" s="3" t="s">
        <v>90</v>
      </c>
      <c r="AD202" s="3" t="s">
        <v>91</v>
      </c>
      <c r="AF202" s="7" t="s">
        <v>300</v>
      </c>
      <c r="AG202" s="3" t="s">
        <v>87</v>
      </c>
      <c r="AH202" s="3" t="s">
        <v>88</v>
      </c>
      <c r="AI202" s="3" t="s">
        <v>89</v>
      </c>
      <c r="AJ202" s="3" t="s">
        <v>90</v>
      </c>
      <c r="AK202" s="3" t="s">
        <v>91</v>
      </c>
    </row>
    <row r="203" spans="1:37">
      <c r="A203" s="3" t="s">
        <v>87</v>
      </c>
      <c r="B203" s="8" t="s">
        <v>301</v>
      </c>
      <c r="C203" s="8" cm="1">
        <f t="array" ref="C203">CORREL(B5:B184,C5:C184)</f>
        <v>0.813125142662665</v>
      </c>
      <c r="D203" s="8" cm="1">
        <f t="array" ref="D203">CORREL(B5:B184,D5:D184)</f>
        <v>0.938318956047006</v>
      </c>
      <c r="E203" s="8" cm="1">
        <f t="array" ref="E203">CORREL(B5:B184,E5:E184)</f>
        <v>0.881923032622796</v>
      </c>
      <c r="F203" s="8" cm="1">
        <f t="array" ref="F203">CORREL(B5:B184,F5:F184)</f>
        <v>0.915065424750982</v>
      </c>
      <c r="K203" s="3" t="s">
        <v>87</v>
      </c>
      <c r="L203" s="8" t="s">
        <v>301</v>
      </c>
      <c r="M203" s="8" cm="1">
        <f t="array" ref="M203">CORREL(L5:L184,M5:M184)</f>
        <v>0.829917975143594</v>
      </c>
      <c r="N203" s="8" cm="1">
        <f t="array" ref="N203">CORREL(L5:L184,N5:N184)</f>
        <v>0.933698549312775</v>
      </c>
      <c r="O203" s="8" cm="1">
        <f t="array" ref="O203">CORREL(L5:L184,O5:O184)</f>
        <v>0.880779721535828</v>
      </c>
      <c r="P203" s="8" cm="1">
        <f t="array" ref="P203">CORREL(L5:L184,P5:P184)</f>
        <v>0.88865969371553</v>
      </c>
      <c r="R203" s="3" t="s">
        <v>87</v>
      </c>
      <c r="S203" s="8" t="s">
        <v>301</v>
      </c>
      <c r="T203" s="8" cm="1">
        <f t="array" ref="T203">CORREL(S5:S184,T5:T184)</f>
        <v>0.766218537810559</v>
      </c>
      <c r="U203" s="8" cm="1">
        <f t="array" ref="U203">CORREL(S5:S184,U5:U184)</f>
        <v>0.947742240714694</v>
      </c>
      <c r="V203" s="8" cm="1">
        <f t="array" ref="V203">CORREL(S5:S184,V5:V184)</f>
        <v>0.876622266347074</v>
      </c>
      <c r="W203" s="8" cm="1">
        <f t="array" ref="W203">CORREL(S5:S184,W5:W184)</f>
        <v>0.917570073388715</v>
      </c>
      <c r="Y203" s="3" t="s">
        <v>87</v>
      </c>
      <c r="Z203" s="8" t="s">
        <v>301</v>
      </c>
      <c r="AA203" s="8" cm="1">
        <f t="array" ref="AA203">CORREL(Z5:Z184,AA5:AA184)</f>
        <v>0.658590677813105</v>
      </c>
      <c r="AB203" s="8" cm="1">
        <f t="array" ref="AB203">CORREL(Z5:Z184,AB5:AB184)</f>
        <v>0.841423245848949</v>
      </c>
      <c r="AC203" s="8" cm="1">
        <f t="array" ref="AC203">CORREL(Z5:Z184,AC5:AC184)</f>
        <v>0.756639399791737</v>
      </c>
      <c r="AD203" s="8" cm="1">
        <f t="array" ref="AD203">CORREL(Z5:Z184,AD5:AD184)</f>
        <v>0.817299689172476</v>
      </c>
      <c r="AF203" s="3" t="s">
        <v>87</v>
      </c>
      <c r="AG203" s="8" t="s">
        <v>301</v>
      </c>
      <c r="AH203" s="8" cm="1">
        <f t="array" ref="AH203">CORREL(AG5:AG184,AH5:AH184)</f>
        <v>0.651736501098034</v>
      </c>
      <c r="AI203" s="8" cm="1">
        <f t="array" ref="AI203">CORREL(AG5:AG184,AI5:AI184)</f>
        <v>0.852039826837541</v>
      </c>
      <c r="AJ203" s="8" cm="1">
        <f t="array" ref="AJ203">CORREL(AG5:AG184,AJ5:AJ184)</f>
        <v>0.812576352160272</v>
      </c>
      <c r="AK203" s="8" cm="1">
        <f t="array" ref="AK203">CORREL(AG5:AG184,AK5:AK184)</f>
        <v>0.905150327938372</v>
      </c>
    </row>
    <row r="204" spans="1:37">
      <c r="A204" s="3" t="s">
        <v>88</v>
      </c>
      <c r="B204" s="8"/>
      <c r="C204" s="8" t="s">
        <v>301</v>
      </c>
      <c r="D204" s="8" cm="1">
        <f t="array" ref="D204">CORREL(C5:C184,D5:D184)</f>
        <v>0.833893756585454</v>
      </c>
      <c r="E204" s="8" cm="1">
        <f t="array" ref="E204">CORREL(C5:C184,E5:E184)</f>
        <v>0.81079413995662</v>
      </c>
      <c r="F204" s="8" cm="1">
        <f t="array" ref="F204">CORREL(C5:C184,F5:F184)</f>
        <v>0.82268910102013</v>
      </c>
      <c r="K204" s="3" t="s">
        <v>88</v>
      </c>
      <c r="L204" s="8"/>
      <c r="M204" s="8" t="s">
        <v>301</v>
      </c>
      <c r="N204" s="8" cm="1">
        <f t="array" ref="N204">CORREL(M5:M184,N5:N184)</f>
        <v>0.858678105958096</v>
      </c>
      <c r="O204" s="8" cm="1">
        <f t="array" ref="O204">CORREL(M5:M184,O5:O184)</f>
        <v>0.823887748655595</v>
      </c>
      <c r="P204" s="8" cm="1">
        <f t="array" ref="P204">CORREL(M5:M184,P5:P184)</f>
        <v>0.810767825201624</v>
      </c>
      <c r="R204" s="3" t="s">
        <v>88</v>
      </c>
      <c r="S204" s="8"/>
      <c r="T204" s="8" t="s">
        <v>301</v>
      </c>
      <c r="U204" s="8" cm="1">
        <f t="array" ref="U204">CORREL(T5:T184,U5:U184)</f>
        <v>0.798443979791589</v>
      </c>
      <c r="V204" s="8" cm="1">
        <f t="array" ref="V204">CORREL(T5:T184,V5:V184)</f>
        <v>0.776404102645409</v>
      </c>
      <c r="W204" s="8" cm="1">
        <f t="array" ref="W204">CORREL(T5:T184,W5:W184)</f>
        <v>0.816227002923439</v>
      </c>
      <c r="Y204" s="3" t="s">
        <v>88</v>
      </c>
      <c r="Z204" s="8"/>
      <c r="AA204" s="8" t="s">
        <v>301</v>
      </c>
      <c r="AB204" s="8" cm="1">
        <f t="array" ref="AB204">CORREL(AA5:AA184,AB5:AB184)</f>
        <v>0.626878067032932</v>
      </c>
      <c r="AC204" s="8" cm="1">
        <f t="array" ref="AC204">CORREL(AA5:AA184,AC5:AC184)</f>
        <v>0.621085017911738</v>
      </c>
      <c r="AD204" s="8" cm="1">
        <f t="array" ref="AD204">CORREL(AA5:AA184,AD5:AD184)</f>
        <v>0.70413531014328</v>
      </c>
      <c r="AF204" s="3" t="s">
        <v>88</v>
      </c>
      <c r="AG204" s="8"/>
      <c r="AH204" s="8" t="s">
        <v>301</v>
      </c>
      <c r="AI204" s="8" cm="1">
        <f t="array" ref="AI204">CORREL(AH5:AH184,AI5:AI184)</f>
        <v>0.596450652048769</v>
      </c>
      <c r="AJ204" s="8" cm="1">
        <f t="array" ref="AJ204">CORREL(AH5:AH184,AJ5:AJ184)</f>
        <v>0.627867226078659</v>
      </c>
      <c r="AK204" s="8" cm="1">
        <f t="array" ref="AK204">CORREL(AH5:AH184,AK5:AK184)</f>
        <v>0.704469733649315</v>
      </c>
    </row>
    <row r="205" spans="1:37">
      <c r="A205" s="3" t="s">
        <v>89</v>
      </c>
      <c r="B205" s="8"/>
      <c r="C205" s="8"/>
      <c r="D205" s="8" t="s">
        <v>301</v>
      </c>
      <c r="E205" s="8" cm="1">
        <f t="array" ref="E205">CORREL(D5:D184,E5:E184)</f>
        <v>0.932780347760373</v>
      </c>
      <c r="F205" s="8" cm="1">
        <f t="array" ref="F205">CORREL(D5:D184,F5:F184)</f>
        <v>0.94653081194472</v>
      </c>
      <c r="K205" s="3" t="s">
        <v>89</v>
      </c>
      <c r="L205" s="8"/>
      <c r="M205" s="8"/>
      <c r="N205" s="8" t="s">
        <v>301</v>
      </c>
      <c r="O205" s="8" cm="1">
        <f t="array" ref="O205">CORREL(N5:N184,O5:O184)</f>
        <v>0.927590907192413</v>
      </c>
      <c r="P205" s="8" cm="1">
        <f t="array" ref="P205">CORREL(N5:N184,P5:P184)</f>
        <v>0.937491672629691</v>
      </c>
      <c r="R205" s="3" t="s">
        <v>89</v>
      </c>
      <c r="S205" s="8"/>
      <c r="T205" s="8"/>
      <c r="U205" s="8" t="s">
        <v>301</v>
      </c>
      <c r="V205" s="8" cm="1">
        <f t="array" ref="V205">CORREL(U5:U184,V5:V184)</f>
        <v>0.897269911916518</v>
      </c>
      <c r="W205" s="8" cm="1">
        <f t="array" ref="W205">CORREL(U5:U184,W5:W184)</f>
        <v>0.923555966591244</v>
      </c>
      <c r="Y205" s="3" t="s">
        <v>89</v>
      </c>
      <c r="Z205" s="8"/>
      <c r="AA205" s="8"/>
      <c r="AB205" s="8" t="s">
        <v>301</v>
      </c>
      <c r="AC205" s="8" cm="1">
        <f t="array" ref="AC205">CORREL(AB5:AB184,AC5:AC184)</f>
        <v>0.84299763527984</v>
      </c>
      <c r="AD205" s="8" cm="1">
        <f t="array" ref="AD205">CORREL(AB5:AB184,AD5:AD184)</f>
        <v>0.830930837849403</v>
      </c>
      <c r="AF205" s="3" t="s">
        <v>89</v>
      </c>
      <c r="AG205" s="8"/>
      <c r="AH205" s="8"/>
      <c r="AI205" s="8" t="s">
        <v>301</v>
      </c>
      <c r="AJ205" s="8" cm="1">
        <f t="array" ref="AJ205">CORREL(AI5:AI184,AJ5:AJ184)</f>
        <v>0.828709139120887</v>
      </c>
      <c r="AK205" s="8" cm="1">
        <f t="array" ref="AK205">CORREL(AI5:AI184,AK5:AK184)</f>
        <v>0.876334780501539</v>
      </c>
    </row>
    <row r="206" spans="1:37">
      <c r="A206" s="3" t="s">
        <v>90</v>
      </c>
      <c r="B206" s="8"/>
      <c r="C206" s="8"/>
      <c r="D206" s="8"/>
      <c r="E206" s="8" t="s">
        <v>301</v>
      </c>
      <c r="F206" s="8" cm="1">
        <f t="array" ref="F206">CORREL(E5:E184,F5:F184)</f>
        <v>0.9028566964845</v>
      </c>
      <c r="K206" s="3" t="s">
        <v>90</v>
      </c>
      <c r="L206" s="8"/>
      <c r="M206" s="8"/>
      <c r="N206" s="8"/>
      <c r="O206" s="8" t="s">
        <v>301</v>
      </c>
      <c r="P206" s="8" cm="1">
        <f t="array" ref="P206">CORREL(O5:O184,P5:P184)</f>
        <v>0.892340176741198</v>
      </c>
      <c r="R206" s="3" t="s">
        <v>90</v>
      </c>
      <c r="S206" s="8"/>
      <c r="T206" s="8"/>
      <c r="U206" s="8"/>
      <c r="V206" s="8" t="s">
        <v>301</v>
      </c>
      <c r="W206" s="8" cm="1">
        <f t="array" ref="W206">CORREL(V5:V184,W5:W184)</f>
        <v>0.877158185118887</v>
      </c>
      <c r="Y206" s="3" t="s">
        <v>90</v>
      </c>
      <c r="Z206" s="8"/>
      <c r="AA206" s="8"/>
      <c r="AB206" s="8"/>
      <c r="AC206" s="8" t="s">
        <v>301</v>
      </c>
      <c r="AD206" s="8" cm="1">
        <f t="array" ref="AD206">CORREL(AC5:AC184,AD5:AD184)</f>
        <v>0.716011662959474</v>
      </c>
      <c r="AF206" s="3" t="s">
        <v>90</v>
      </c>
      <c r="AG206" s="8"/>
      <c r="AH206" s="8"/>
      <c r="AI206" s="8"/>
      <c r="AJ206" s="8" t="s">
        <v>301</v>
      </c>
      <c r="AK206" s="8" cm="1">
        <f t="array" ref="AK206">CORREL(AJ5:AJ184,AK5:AK184)</f>
        <v>0.793246652778952</v>
      </c>
    </row>
    <row r="207" spans="1:37">
      <c r="A207" s="3" t="s">
        <v>91</v>
      </c>
      <c r="B207" s="8"/>
      <c r="C207" s="8"/>
      <c r="D207" s="8"/>
      <c r="E207" s="8"/>
      <c r="F207" s="8" t="s">
        <v>301</v>
      </c>
      <c r="K207" s="3" t="s">
        <v>91</v>
      </c>
      <c r="L207" s="8"/>
      <c r="M207" s="8"/>
      <c r="N207" s="8"/>
      <c r="O207" s="8"/>
      <c r="P207" s="8" t="s">
        <v>301</v>
      </c>
      <c r="R207" s="3" t="s">
        <v>91</v>
      </c>
      <c r="S207" s="8"/>
      <c r="T207" s="8"/>
      <c r="U207" s="8"/>
      <c r="V207" s="8"/>
      <c r="W207" s="8" t="s">
        <v>301</v>
      </c>
      <c r="Y207" s="3" t="s">
        <v>91</v>
      </c>
      <c r="Z207" s="8"/>
      <c r="AA207" s="8"/>
      <c r="AB207" s="8"/>
      <c r="AC207" s="8"/>
      <c r="AD207" s="8" t="s">
        <v>301</v>
      </c>
      <c r="AF207" s="3" t="s">
        <v>91</v>
      </c>
      <c r="AG207" s="8"/>
      <c r="AH207" s="8"/>
      <c r="AI207" s="8"/>
      <c r="AJ207" s="8"/>
      <c r="AK207" s="8" t="s">
        <v>301</v>
      </c>
    </row>
    <row r="208" spans="1:37">
      <c r="B208" s="9" t="s">
        <v>302</v>
      </c>
      <c r="C208" s="9">
        <f>MAX(C203:F206)</f>
        <v>0.94653081194472</v>
      </c>
      <c r="D208" s="9" t="s">
        <v>303</v>
      </c>
      <c r="E208" s="9">
        <f>MIN(C203:F206)</f>
        <v>0.81079413995662</v>
      </c>
      <c r="F208" s="10"/>
      <c r="L208" s="9" t="s">
        <v>302</v>
      </c>
      <c r="M208" s="9">
        <f>MAX(M203:P206)</f>
        <v>0.937491672629691</v>
      </c>
      <c r="N208" s="9" t="s">
        <v>303</v>
      </c>
      <c r="O208" s="9">
        <f>MIN(M203:P206)</f>
        <v>0.810767825201624</v>
      </c>
      <c r="P208" s="10"/>
      <c r="S208" s="9" t="s">
        <v>302</v>
      </c>
      <c r="T208" s="9">
        <f>MAX(T203:W206)</f>
        <v>0.947742240714694</v>
      </c>
      <c r="U208" s="9" t="s">
        <v>303</v>
      </c>
      <c r="V208" s="9">
        <f>MIN(T203:W206)</f>
        <v>0.766218537810559</v>
      </c>
      <c r="W208" s="10"/>
      <c r="Z208" s="9" t="s">
        <v>302</v>
      </c>
      <c r="AA208" s="9">
        <f>MAX(AA203:AD206)</f>
        <v>0.84299763527984</v>
      </c>
      <c r="AB208" s="9" t="s">
        <v>303</v>
      </c>
      <c r="AC208" s="9">
        <f>MIN(AA203:AD206)</f>
        <v>0.621085017911738</v>
      </c>
      <c r="AD208" s="10"/>
      <c r="AG208" s="9" t="s">
        <v>302</v>
      </c>
      <c r="AH208" s="9">
        <f>MAX(AH203:AK206)</f>
        <v>0.905150327938372</v>
      </c>
      <c r="AI208" s="9" t="s">
        <v>303</v>
      </c>
      <c r="AJ208" s="9">
        <f>MIN(AH203:AK206)</f>
        <v>0.596450652048769</v>
      </c>
      <c r="AK208" s="10"/>
    </row>
    <row r="209" spans="1:6">
      <c r="A209" s="3" t="s">
        <v>304</v>
      </c>
      <c r="B209" s="8" cm="1">
        <f t="array" ref="B209">CORREL($J$5:$J$184,B5:B184)</f>
        <v>0.822311567550705</v>
      </c>
      <c r="C209" s="8" cm="1">
        <f t="array" ref="C209">CORREL($J$5:$J$184,C5:C184)</f>
        <v>0.723444029331305</v>
      </c>
      <c r="D209" s="8" cm="1">
        <f t="array" ref="D209">CORREL($J$5:$J$184,D5:D184)</f>
        <v>0.794066411676133</v>
      </c>
      <c r="E209" s="8" cm="1">
        <f t="array" ref="E209">CORREL($J$5:$J$184,E5:E184)</f>
        <v>0.769009067057399</v>
      </c>
      <c r="F209" s="8" cm="1">
        <f t="array" ref="F209">CORREL($J$5:$J$184,F5:F184)</f>
        <v>0.77945877021056</v>
      </c>
    </row>
    <row r="210" spans="1:6">
      <c r="A210" s="4"/>
      <c r="B210" s="8" t="s">
        <v>302</v>
      </c>
      <c r="C210" s="8">
        <f t="shared" ref="C210:C214" si="30">MAX(B209:F209)</f>
        <v>0.822311567550705</v>
      </c>
      <c r="D210" s="8" t="s">
        <v>303</v>
      </c>
      <c r="E210" s="8">
        <f t="shared" ref="E210:E214" si="31">MIN(B209:F209)</f>
        <v>0.723444029331305</v>
      </c>
      <c r="F210" s="8"/>
    </row>
    <row r="211" spans="1:6">
      <c r="A211" s="3" t="s">
        <v>305</v>
      </c>
      <c r="B211" s="8" cm="1">
        <f t="array" ref="B211">(2*_xlfn.COVARIANCE.P($J$5:$J$184,B5:B184))/(_xlfn.VAR.P($J$5:$J$184)+_xlfn.VAR.P(B5:B184)+(AVERAGE($J$5:$J$184)-AVERAGE(B5:B184))^2)</f>
        <v>0.757115467102016</v>
      </c>
      <c r="C211" s="8" cm="1">
        <f t="array" ref="C211">(2*_xlfn.COVARIANCE.P($J$5:$J$184,C5:C184))/(_xlfn.VAR.P($J$5:$J$184)+_xlfn.VAR.P(C5:C184)+(AVERAGE($J$5:$J$184)-AVERAGE(C5:C184))^2)</f>
        <v>0.698644740409649</v>
      </c>
      <c r="D211" s="8" cm="1">
        <f t="array" ref="D211">(2*_xlfn.COVARIANCE.P($J$5:$J$184,D5:D184))/(_xlfn.VAR.P($J$5:$J$184)+_xlfn.VAR.P(D5:D184)+(AVERAGE($J$5:$J$184)-AVERAGE(D5:D184))^2)</f>
        <v>0.74396053580812</v>
      </c>
      <c r="E211" s="8" cm="1">
        <f t="array" ref="E211">(2*_xlfn.COVARIANCE.P($J$5:$J$184,E5:E184))/(_xlfn.VAR.P($J$5:$J$184)+_xlfn.VAR.P(E5:E184)+(AVERAGE($J$5:$J$184)-AVERAGE(E5:E184))^2)</f>
        <v>0.745815309449397</v>
      </c>
      <c r="F211" s="8" cm="1">
        <f t="array" ref="F211">(2*_xlfn.COVARIANCE.P($J$5:$J$184,F5:F184))/(_xlfn.VAR.P($J$5:$J$184)+_xlfn.VAR.P(F5:F184)+(AVERAGE($J$5:$J$184)-AVERAGE(F5:F184))^2)</f>
        <v>0.726741727185443</v>
      </c>
    </row>
    <row r="212" spans="1:6">
      <c r="A212" s="4"/>
      <c r="B212" s="8" t="s">
        <v>302</v>
      </c>
      <c r="C212" s="8">
        <f t="shared" si="30"/>
        <v>0.757115467102016</v>
      </c>
      <c r="D212" s="8" t="s">
        <v>303</v>
      </c>
      <c r="E212" s="8">
        <f t="shared" si="31"/>
        <v>0.698644740409649</v>
      </c>
      <c r="F212" s="8"/>
    </row>
    <row r="213" spans="1:6">
      <c r="A213" s="3" t="s">
        <v>306</v>
      </c>
      <c r="B213" s="8" cm="1">
        <f t="array" ref="B213">AVERAGE(ABS($J$5:$J$184-B5:B184))</f>
        <v>10.67</v>
      </c>
      <c r="C213" s="8" cm="1">
        <f t="array" ref="C213">AVERAGE(ABS($J$5:$J$184-C5:C184))</f>
        <v>11.71</v>
      </c>
      <c r="D213" s="8" cm="1">
        <f t="array" ref="D213">AVERAGE(ABS($J$5:$J$184-D5:D184))</f>
        <v>11.6477777777778</v>
      </c>
      <c r="E213" s="8" cm="1">
        <f t="array" ref="E213">AVERAGE(ABS($J$5:$J$184-E5:E184))</f>
        <v>11.5766666666667</v>
      </c>
      <c r="F213" s="8" cm="1">
        <f t="array" ref="F213">AVERAGE(ABS($J$5:$J$184-F5:F184))</f>
        <v>11.6033333333333</v>
      </c>
    </row>
    <row r="214" spans="1:6">
      <c r="A214" s="4"/>
      <c r="B214" s="8" t="s">
        <v>302</v>
      </c>
      <c r="C214" s="8">
        <f t="shared" si="30"/>
        <v>11.71</v>
      </c>
      <c r="D214" s="8" t="s">
        <v>303</v>
      </c>
      <c r="E214" s="8">
        <f t="shared" si="31"/>
        <v>10.67</v>
      </c>
      <c r="F214" s="8"/>
    </row>
    <row r="215" spans="1:6">
      <c r="A215" s="3" t="s">
        <v>307</v>
      </c>
      <c r="B215" s="8" cm="1">
        <f t="array" ref="B215">SQRT(SUMPRODUCT(($J$5:$J$184-B5:B184)^2)/180)</f>
        <v>14.4485216467906</v>
      </c>
      <c r="C215" s="8" cm="1">
        <f t="array" ref="C215">SQRT(SUMPRODUCT(($J$5:$J$184-C5:C184)^2)/180)</f>
        <v>16.7750144891476</v>
      </c>
      <c r="D215" s="8" cm="1">
        <f t="array" ref="D215">SQRT(SUMPRODUCT(($J$5:$J$184-D5:D184)^2)/180)</f>
        <v>14.8981206868517</v>
      </c>
      <c r="E215" s="8" cm="1">
        <f t="array" ref="E215">SQRT(SUMPRODUCT(($J$5:$J$184-E5:E184)^2)/180)</f>
        <v>16.1607033675312</v>
      </c>
      <c r="F215" s="8" cm="1">
        <f t="array" ref="F215">SQRT(SUMPRODUCT(($J$5:$J$184-F5:F184)^2)/180)</f>
        <v>15.4335241168913</v>
      </c>
    </row>
    <row r="216" spans="1:6">
      <c r="A216" s="4"/>
      <c r="B216" s="8" t="s">
        <v>302</v>
      </c>
      <c r="C216" s="8">
        <f>MAX(B215:F215)</f>
        <v>16.7750144891476</v>
      </c>
      <c r="D216" s="8" t="s">
        <v>303</v>
      </c>
      <c r="E216" s="8">
        <f>MIN(B215:F215)</f>
        <v>14.4485216467906</v>
      </c>
      <c r="F216" s="8"/>
    </row>
    <row r="217" spans="1:6">
      <c r="B217" s="10"/>
      <c r="C217" s="10"/>
      <c r="D217" s="10"/>
      <c r="E217" s="10"/>
      <c r="F217" s="10"/>
    </row>
    <row r="218" spans="1:6">
      <c r="A218" s="2" t="s">
        <v>80</v>
      </c>
      <c r="B218" s="2" t="s">
        <v>308</v>
      </c>
      <c r="C218" s="2" t="s">
        <v>309</v>
      </c>
    </row>
    <row r="219" spans="1:6">
      <c r="A219" t="s">
        <v>310</v>
      </c>
      <c r="B219" s="12">
        <f>COUNTIF(H5:H184,"&gt;20")</f>
        <v>27</v>
      </c>
      <c r="C219" s="45">
        <f>B219/180</f>
        <v>0.15</v>
      </c>
    </row>
    <row r="220" spans="1:6">
      <c r="A220" t="s">
        <v>311</v>
      </c>
      <c r="B220" s="12">
        <f>SUM(I5:I184)</f>
        <v>156</v>
      </c>
      <c r="C220" t="s">
        <v>312</v>
      </c>
    </row>
    <row r="222" spans="1:6">
      <c r="A222" s="2" t="s">
        <v>313</v>
      </c>
      <c r="B222" s="2" t="s">
        <v>89</v>
      </c>
      <c r="C222" s="2" t="s">
        <v>314</v>
      </c>
      <c r="D222" s="2" t="s">
        <v>91</v>
      </c>
      <c r="E222" t="s">
        <v>92</v>
      </c>
    </row>
    <row r="223" spans="1:6">
      <c r="A223" t="s">
        <v>96</v>
      </c>
      <c r="B223">
        <v>58.4</v>
      </c>
      <c r="C223">
        <v>49.2</v>
      </c>
      <c r="D223">
        <v>58.8</v>
      </c>
      <c r="E223" s="10">
        <f>AVERAGE(B223:D223)</f>
        <v>55.4666666666667</v>
      </c>
    </row>
    <row r="224" spans="1:6">
      <c r="A224" t="s">
        <v>97</v>
      </c>
      <c r="B224">
        <v>81.1</v>
      </c>
      <c r="C224">
        <v>75.6</v>
      </c>
      <c r="D224">
        <v>75.4</v>
      </c>
      <c r="E224" s="10">
        <f t="shared" ref="E224:E255" si="32">AVERAGE(B224:D224)</f>
        <v>77.3666666666667</v>
      </c>
    </row>
    <row r="225" spans="1:5">
      <c r="A225" t="s">
        <v>98</v>
      </c>
      <c r="B225">
        <v>89.1</v>
      </c>
      <c r="C225">
        <v>91.8</v>
      </c>
      <c r="D225">
        <v>86.4</v>
      </c>
      <c r="E225" s="10">
        <f t="shared" si="32"/>
        <v>89.1</v>
      </c>
    </row>
    <row r="226" spans="1:5">
      <c r="A226" t="s">
        <v>99</v>
      </c>
      <c r="B226">
        <v>89.4</v>
      </c>
      <c r="C226">
        <v>90.8</v>
      </c>
      <c r="D226">
        <v>87.2</v>
      </c>
      <c r="E226" s="10">
        <f t="shared" si="32"/>
        <v>89.1333333333333</v>
      </c>
    </row>
    <row r="227" spans="1:5">
      <c r="A227" t="s">
        <v>100</v>
      </c>
      <c r="B227">
        <v>83.4</v>
      </c>
      <c r="C227">
        <v>88</v>
      </c>
      <c r="D227">
        <v>86.4</v>
      </c>
      <c r="E227" s="10">
        <f t="shared" si="32"/>
        <v>85.9333333333333</v>
      </c>
    </row>
    <row r="228" spans="1:5">
      <c r="A228" t="s">
        <v>101</v>
      </c>
      <c r="B228">
        <v>87.1</v>
      </c>
      <c r="C228">
        <v>86.2</v>
      </c>
      <c r="D228">
        <v>84.6</v>
      </c>
      <c r="E228" s="10">
        <f t="shared" si="32"/>
        <v>85.9666666666667</v>
      </c>
    </row>
    <row r="229" spans="1:5">
      <c r="A229" t="s">
        <v>102</v>
      </c>
      <c r="B229">
        <v>86.3</v>
      </c>
      <c r="C229">
        <v>85.2</v>
      </c>
      <c r="D229">
        <v>84</v>
      </c>
      <c r="E229" s="10">
        <f t="shared" si="32"/>
        <v>85.1666666666667</v>
      </c>
    </row>
    <row r="230" spans="1:5">
      <c r="A230" t="s">
        <v>103</v>
      </c>
      <c r="B230">
        <v>84.1</v>
      </c>
      <c r="C230">
        <v>90.4</v>
      </c>
      <c r="D230">
        <v>87.2</v>
      </c>
      <c r="E230" s="10">
        <f t="shared" si="32"/>
        <v>87.2333333333333</v>
      </c>
    </row>
    <row r="231" spans="1:5">
      <c r="A231" t="s">
        <v>104</v>
      </c>
      <c r="B231">
        <v>83.1</v>
      </c>
      <c r="C231">
        <v>84.4</v>
      </c>
      <c r="D231">
        <v>84.2</v>
      </c>
      <c r="E231" s="10">
        <f t="shared" si="32"/>
        <v>83.9</v>
      </c>
    </row>
    <row r="232" spans="1:5">
      <c r="A232" t="s">
        <v>105</v>
      </c>
      <c r="B232">
        <v>5</v>
      </c>
      <c r="C232">
        <v>0</v>
      </c>
      <c r="D232">
        <v>8.8</v>
      </c>
      <c r="E232" s="10">
        <f t="shared" si="32"/>
        <v>4.6</v>
      </c>
    </row>
    <row r="233" spans="1:5">
      <c r="A233" t="s">
        <v>106</v>
      </c>
      <c r="B233">
        <v>86.7</v>
      </c>
      <c r="C233">
        <v>91.6</v>
      </c>
      <c r="D233">
        <v>87.2</v>
      </c>
      <c r="E233" s="10">
        <f t="shared" si="32"/>
        <v>88.5</v>
      </c>
    </row>
    <row r="234" spans="1:5">
      <c r="A234" t="s">
        <v>107</v>
      </c>
      <c r="B234">
        <v>82.4</v>
      </c>
      <c r="C234">
        <v>86.2</v>
      </c>
      <c r="D234">
        <v>84</v>
      </c>
      <c r="E234" s="10">
        <f t="shared" si="32"/>
        <v>84.2</v>
      </c>
    </row>
    <row r="235" spans="1:5">
      <c r="A235" t="s">
        <v>108</v>
      </c>
      <c r="B235">
        <v>31</v>
      </c>
      <c r="C235">
        <v>8.6</v>
      </c>
      <c r="D235">
        <v>48.6</v>
      </c>
      <c r="E235" s="10">
        <f t="shared" si="32"/>
        <v>29.4</v>
      </c>
    </row>
    <row r="236" spans="1:5">
      <c r="A236" t="s">
        <v>109</v>
      </c>
      <c r="B236">
        <v>31</v>
      </c>
      <c r="C236">
        <v>8.6</v>
      </c>
      <c r="D236">
        <v>48.6</v>
      </c>
      <c r="E236" s="10">
        <f t="shared" si="32"/>
        <v>29.4</v>
      </c>
    </row>
    <row r="237" spans="1:5">
      <c r="A237" t="s">
        <v>110</v>
      </c>
      <c r="B237">
        <v>76.3</v>
      </c>
      <c r="C237">
        <v>84.4</v>
      </c>
      <c r="D237">
        <v>83.6</v>
      </c>
      <c r="E237" s="10">
        <f t="shared" si="32"/>
        <v>81.4333333333333</v>
      </c>
    </row>
    <row r="238" spans="1:5">
      <c r="A238" t="s">
        <v>111</v>
      </c>
      <c r="B238">
        <v>24.4</v>
      </c>
      <c r="C238">
        <v>8.6</v>
      </c>
      <c r="D238">
        <v>42.8</v>
      </c>
      <c r="E238" s="10">
        <f t="shared" si="32"/>
        <v>25.2666666666667</v>
      </c>
    </row>
    <row r="239" spans="1:5">
      <c r="A239" t="s">
        <v>112</v>
      </c>
      <c r="B239">
        <v>75.8</v>
      </c>
      <c r="C239">
        <v>82.4</v>
      </c>
      <c r="D239">
        <v>83</v>
      </c>
      <c r="E239" s="10">
        <f t="shared" si="32"/>
        <v>80.4</v>
      </c>
    </row>
    <row r="240" spans="1:5">
      <c r="A240" t="s">
        <v>113</v>
      </c>
      <c r="B240">
        <v>84.1</v>
      </c>
      <c r="C240">
        <v>90.4</v>
      </c>
      <c r="D240">
        <v>87.2</v>
      </c>
      <c r="E240" s="10">
        <f t="shared" si="32"/>
        <v>87.2333333333333</v>
      </c>
    </row>
    <row r="241" spans="1:5">
      <c r="A241" t="s">
        <v>114</v>
      </c>
      <c r="B241">
        <v>90.2</v>
      </c>
      <c r="C241">
        <v>93.8</v>
      </c>
      <c r="D241">
        <v>93.2</v>
      </c>
      <c r="E241" s="10">
        <f t="shared" si="32"/>
        <v>92.4</v>
      </c>
    </row>
    <row r="242" spans="1:5">
      <c r="A242" t="s">
        <v>115</v>
      </c>
      <c r="B242">
        <v>19</v>
      </c>
      <c r="C242">
        <v>33.4</v>
      </c>
      <c r="D242">
        <v>22.6</v>
      </c>
      <c r="E242" s="10">
        <f t="shared" si="32"/>
        <v>25</v>
      </c>
    </row>
    <row r="243" spans="1:5">
      <c r="A243" t="s">
        <v>116</v>
      </c>
      <c r="B243">
        <v>48.2</v>
      </c>
      <c r="C243">
        <v>8.6</v>
      </c>
      <c r="D243">
        <v>45.4</v>
      </c>
      <c r="E243" s="10">
        <f t="shared" si="32"/>
        <v>34.0666666666667</v>
      </c>
    </row>
    <row r="244" spans="1:5">
      <c r="A244" t="s">
        <v>117</v>
      </c>
      <c r="B244">
        <v>87.2</v>
      </c>
      <c r="C244">
        <v>91.2</v>
      </c>
      <c r="D244">
        <v>87.4</v>
      </c>
      <c r="E244" s="10">
        <f t="shared" si="32"/>
        <v>88.6</v>
      </c>
    </row>
    <row r="245" spans="1:5">
      <c r="A245" t="s">
        <v>118</v>
      </c>
      <c r="B245">
        <v>87.6</v>
      </c>
      <c r="C245">
        <v>88.4</v>
      </c>
      <c r="D245">
        <v>87.4</v>
      </c>
      <c r="E245" s="10">
        <f t="shared" si="32"/>
        <v>87.8</v>
      </c>
    </row>
    <row r="246" spans="1:5">
      <c r="A246" t="s">
        <v>119</v>
      </c>
      <c r="B246">
        <v>73</v>
      </c>
      <c r="C246">
        <v>8.6</v>
      </c>
      <c r="D246">
        <v>59</v>
      </c>
      <c r="E246" s="10">
        <f t="shared" si="32"/>
        <v>46.8666666666667</v>
      </c>
    </row>
    <row r="247" spans="1:5">
      <c r="A247" t="s">
        <v>120</v>
      </c>
      <c r="B247">
        <v>89.8</v>
      </c>
      <c r="C247">
        <v>89.4</v>
      </c>
      <c r="D247">
        <v>89.6</v>
      </c>
      <c r="E247" s="10">
        <f t="shared" si="32"/>
        <v>89.6</v>
      </c>
    </row>
    <row r="248" spans="1:5">
      <c r="A248" t="s">
        <v>121</v>
      </c>
      <c r="B248">
        <v>5</v>
      </c>
      <c r="C248">
        <v>0</v>
      </c>
      <c r="D248">
        <v>0</v>
      </c>
      <c r="E248" s="10">
        <f t="shared" si="32"/>
        <v>1.66666666666667</v>
      </c>
    </row>
    <row r="249" spans="1:5">
      <c r="A249" t="s">
        <v>122</v>
      </c>
      <c r="B249">
        <v>32.6</v>
      </c>
      <c r="C249">
        <v>8.6</v>
      </c>
      <c r="D249">
        <v>36.6</v>
      </c>
      <c r="E249" s="10">
        <f t="shared" si="32"/>
        <v>25.9333333333333</v>
      </c>
    </row>
    <row r="250" spans="1:5">
      <c r="A250" t="s">
        <v>123</v>
      </c>
      <c r="B250">
        <v>32.6</v>
      </c>
      <c r="C250">
        <v>8.6</v>
      </c>
      <c r="D250">
        <v>36.6</v>
      </c>
      <c r="E250" s="10">
        <f t="shared" si="32"/>
        <v>25.9333333333333</v>
      </c>
    </row>
    <row r="251" spans="1:5">
      <c r="A251" t="s">
        <v>124</v>
      </c>
      <c r="B251">
        <v>82.2</v>
      </c>
      <c r="C251">
        <v>72.4</v>
      </c>
      <c r="D251">
        <v>82.2</v>
      </c>
      <c r="E251" s="10">
        <f t="shared" si="32"/>
        <v>78.9333333333333</v>
      </c>
    </row>
    <row r="252" spans="1:5">
      <c r="A252" t="s">
        <v>125</v>
      </c>
      <c r="B252">
        <v>82.2</v>
      </c>
      <c r="C252">
        <v>72.4</v>
      </c>
      <c r="D252">
        <v>82.2</v>
      </c>
      <c r="E252" s="10">
        <f t="shared" si="32"/>
        <v>78.9333333333333</v>
      </c>
    </row>
    <row r="253" spans="1:5">
      <c r="A253" t="s">
        <v>126</v>
      </c>
      <c r="B253">
        <v>89.8</v>
      </c>
      <c r="C253">
        <v>89.4</v>
      </c>
      <c r="D253">
        <v>89.6</v>
      </c>
      <c r="E253" s="10">
        <f t="shared" si="32"/>
        <v>89.6</v>
      </c>
    </row>
    <row r="254" spans="1:5">
      <c r="A254" t="s">
        <v>127</v>
      </c>
      <c r="B254">
        <v>89.4</v>
      </c>
      <c r="C254">
        <v>48</v>
      </c>
      <c r="D254">
        <v>93.2</v>
      </c>
      <c r="E254" s="10">
        <f t="shared" si="32"/>
        <v>76.8666666666667</v>
      </c>
    </row>
    <row r="255" spans="1:5">
      <c r="A255" t="s">
        <v>128</v>
      </c>
      <c r="B255">
        <v>5</v>
      </c>
      <c r="C255">
        <v>0</v>
      </c>
      <c r="D255">
        <v>0</v>
      </c>
      <c r="E255" s="10">
        <f t="shared" si="32"/>
        <v>1.66666666666667</v>
      </c>
    </row>
    <row r="256" spans="1:5">
      <c r="A256" t="s">
        <v>129</v>
      </c>
      <c r="B256">
        <v>42.2</v>
      </c>
      <c r="C256">
        <v>10.2</v>
      </c>
      <c r="D256">
        <v>40.6</v>
      </c>
      <c r="E256" s="10">
        <f t="shared" ref="E256:E287" si="33">AVERAGE(B256:D256)</f>
        <v>31</v>
      </c>
    </row>
    <row r="257" spans="1:5">
      <c r="A257" t="s">
        <v>130</v>
      </c>
      <c r="B257">
        <v>90.2</v>
      </c>
      <c r="C257">
        <v>93.8</v>
      </c>
      <c r="D257">
        <v>93.2</v>
      </c>
      <c r="E257" s="10">
        <f t="shared" si="33"/>
        <v>92.4</v>
      </c>
    </row>
    <row r="258" spans="1:5">
      <c r="A258" t="s">
        <v>131</v>
      </c>
      <c r="B258">
        <v>87.3</v>
      </c>
      <c r="C258">
        <v>83.4</v>
      </c>
      <c r="D258">
        <v>89</v>
      </c>
      <c r="E258" s="10">
        <f t="shared" si="33"/>
        <v>86.5666666666667</v>
      </c>
    </row>
    <row r="259" spans="1:5">
      <c r="A259" t="s">
        <v>132</v>
      </c>
      <c r="B259">
        <v>93</v>
      </c>
      <c r="C259">
        <v>91</v>
      </c>
      <c r="D259">
        <v>92</v>
      </c>
      <c r="E259" s="10">
        <f t="shared" si="33"/>
        <v>92</v>
      </c>
    </row>
    <row r="260" spans="1:5">
      <c r="A260" t="s">
        <v>133</v>
      </c>
      <c r="B260">
        <v>75.7</v>
      </c>
      <c r="C260">
        <v>56</v>
      </c>
      <c r="D260">
        <v>73.4</v>
      </c>
      <c r="E260" s="10">
        <f t="shared" si="33"/>
        <v>68.3666666666667</v>
      </c>
    </row>
    <row r="261" spans="1:5">
      <c r="A261" t="s">
        <v>134</v>
      </c>
      <c r="B261">
        <v>40.4</v>
      </c>
      <c r="C261">
        <v>38</v>
      </c>
      <c r="D261">
        <v>33.4</v>
      </c>
      <c r="E261" s="10">
        <f t="shared" si="33"/>
        <v>37.2666666666667</v>
      </c>
    </row>
    <row r="262" spans="1:5">
      <c r="A262" t="s">
        <v>135</v>
      </c>
      <c r="B262">
        <v>70.3</v>
      </c>
      <c r="C262">
        <v>65.1</v>
      </c>
      <c r="D262">
        <v>69</v>
      </c>
      <c r="E262" s="10">
        <f t="shared" si="33"/>
        <v>68.1333333333333</v>
      </c>
    </row>
    <row r="263" spans="1:5">
      <c r="A263" t="s">
        <v>136</v>
      </c>
      <c r="B263">
        <v>91.4</v>
      </c>
      <c r="C263">
        <v>86.8</v>
      </c>
      <c r="D263">
        <v>86.2</v>
      </c>
      <c r="E263" s="10">
        <f t="shared" si="33"/>
        <v>88.1333333333333</v>
      </c>
    </row>
    <row r="264" spans="1:5">
      <c r="A264" t="s">
        <v>137</v>
      </c>
      <c r="B264">
        <v>92.2</v>
      </c>
      <c r="C264">
        <v>87</v>
      </c>
      <c r="D264">
        <v>89.4</v>
      </c>
      <c r="E264" s="10">
        <f t="shared" si="33"/>
        <v>89.5333333333333</v>
      </c>
    </row>
    <row r="265" spans="1:5">
      <c r="A265" t="s">
        <v>138</v>
      </c>
      <c r="B265">
        <v>90.4</v>
      </c>
      <c r="C265">
        <v>79.6</v>
      </c>
      <c r="D265">
        <v>88</v>
      </c>
      <c r="E265" s="10">
        <f t="shared" si="33"/>
        <v>86</v>
      </c>
    </row>
    <row r="266" spans="1:5">
      <c r="A266" t="s">
        <v>139</v>
      </c>
      <c r="B266">
        <v>92.6</v>
      </c>
      <c r="C266">
        <v>91</v>
      </c>
      <c r="D266">
        <v>90.6</v>
      </c>
      <c r="E266" s="10">
        <f t="shared" si="33"/>
        <v>91.4</v>
      </c>
    </row>
    <row r="267" spans="1:5">
      <c r="A267" t="s">
        <v>140</v>
      </c>
      <c r="B267">
        <v>92.6</v>
      </c>
      <c r="C267">
        <v>89.8</v>
      </c>
      <c r="D267">
        <v>91.9</v>
      </c>
      <c r="E267" s="10">
        <f t="shared" si="33"/>
        <v>91.4333333333333</v>
      </c>
    </row>
    <row r="268" spans="1:5">
      <c r="A268" t="s">
        <v>141</v>
      </c>
      <c r="B268">
        <v>73.4</v>
      </c>
      <c r="C268">
        <v>64</v>
      </c>
      <c r="D268">
        <v>69</v>
      </c>
      <c r="E268" s="10">
        <f t="shared" si="33"/>
        <v>68.8</v>
      </c>
    </row>
    <row r="269" spans="1:5">
      <c r="A269" t="s">
        <v>142</v>
      </c>
      <c r="B269">
        <v>92.8</v>
      </c>
      <c r="C269">
        <v>87.2</v>
      </c>
      <c r="D269">
        <v>92.8</v>
      </c>
      <c r="E269" s="10">
        <f t="shared" si="33"/>
        <v>90.9333333333333</v>
      </c>
    </row>
    <row r="270" spans="1:5">
      <c r="A270" t="s">
        <v>143</v>
      </c>
      <c r="B270">
        <v>73.4</v>
      </c>
      <c r="C270">
        <v>65.4</v>
      </c>
      <c r="D270">
        <v>69</v>
      </c>
      <c r="E270" s="10">
        <f t="shared" si="33"/>
        <v>69.2666666666667</v>
      </c>
    </row>
    <row r="271" spans="1:5">
      <c r="A271" t="s">
        <v>144</v>
      </c>
      <c r="B271">
        <v>73</v>
      </c>
      <c r="C271">
        <v>63.8</v>
      </c>
      <c r="D271">
        <v>69</v>
      </c>
      <c r="E271" s="10">
        <f t="shared" si="33"/>
        <v>68.6</v>
      </c>
    </row>
    <row r="272" spans="1:5">
      <c r="A272" t="s">
        <v>145</v>
      </c>
      <c r="B272">
        <v>73.4</v>
      </c>
      <c r="C272">
        <v>67.6</v>
      </c>
      <c r="D272">
        <v>69.4</v>
      </c>
      <c r="E272" s="10">
        <f t="shared" si="33"/>
        <v>70.1333333333333</v>
      </c>
    </row>
    <row r="273" spans="1:5">
      <c r="A273" t="s">
        <v>146</v>
      </c>
      <c r="B273">
        <v>93</v>
      </c>
      <c r="C273">
        <v>91</v>
      </c>
      <c r="D273">
        <v>90.6</v>
      </c>
      <c r="E273" s="10">
        <f t="shared" si="33"/>
        <v>91.5333333333333</v>
      </c>
    </row>
    <row r="274" spans="1:5">
      <c r="A274" t="s">
        <v>147</v>
      </c>
      <c r="B274">
        <v>43.4</v>
      </c>
      <c r="C274">
        <v>30.6</v>
      </c>
      <c r="D274">
        <v>36.6</v>
      </c>
      <c r="E274" s="10">
        <f t="shared" si="33"/>
        <v>36.8666666666667</v>
      </c>
    </row>
    <row r="275" spans="1:5">
      <c r="A275" t="s">
        <v>148</v>
      </c>
      <c r="B275">
        <v>68</v>
      </c>
      <c r="C275">
        <v>52.4</v>
      </c>
      <c r="D275">
        <v>64.4</v>
      </c>
      <c r="E275" s="10">
        <f t="shared" si="33"/>
        <v>61.6</v>
      </c>
    </row>
    <row r="276" spans="1:5">
      <c r="A276" t="s">
        <v>149</v>
      </c>
      <c r="B276">
        <v>93</v>
      </c>
      <c r="C276">
        <v>91</v>
      </c>
      <c r="D276">
        <v>91.9</v>
      </c>
      <c r="E276" s="10">
        <f t="shared" si="33"/>
        <v>91.9666666666667</v>
      </c>
    </row>
    <row r="277" spans="1:5">
      <c r="A277" t="s">
        <v>150</v>
      </c>
      <c r="B277">
        <v>92.2</v>
      </c>
      <c r="C277">
        <v>93.8</v>
      </c>
      <c r="D277">
        <v>93.8</v>
      </c>
      <c r="E277" s="10">
        <f t="shared" si="33"/>
        <v>93.2666666666667</v>
      </c>
    </row>
    <row r="278" spans="1:5">
      <c r="A278" t="s">
        <v>151</v>
      </c>
      <c r="B278">
        <v>36</v>
      </c>
      <c r="C278">
        <v>17.4</v>
      </c>
      <c r="D278">
        <v>29.4</v>
      </c>
      <c r="E278" s="10">
        <f t="shared" si="33"/>
        <v>27.6</v>
      </c>
    </row>
    <row r="279" spans="1:5">
      <c r="A279" t="s">
        <v>152</v>
      </c>
      <c r="B279">
        <v>75.8</v>
      </c>
      <c r="C279">
        <v>72.6</v>
      </c>
      <c r="D279">
        <v>75.2</v>
      </c>
      <c r="E279" s="10">
        <f t="shared" si="33"/>
        <v>74.5333333333333</v>
      </c>
    </row>
    <row r="280" spans="1:5">
      <c r="A280" t="s">
        <v>153</v>
      </c>
      <c r="B280">
        <v>43.6</v>
      </c>
      <c r="C280">
        <v>41</v>
      </c>
      <c r="D280">
        <v>61.8</v>
      </c>
      <c r="E280" s="10">
        <f t="shared" si="33"/>
        <v>48.8</v>
      </c>
    </row>
    <row r="281" spans="1:5">
      <c r="A281" t="s">
        <v>154</v>
      </c>
      <c r="B281">
        <v>78.2</v>
      </c>
      <c r="C281">
        <v>66.8</v>
      </c>
      <c r="D281">
        <v>76</v>
      </c>
      <c r="E281" s="10">
        <f t="shared" si="33"/>
        <v>73.6666666666667</v>
      </c>
    </row>
    <row r="282" spans="1:5">
      <c r="A282" t="s">
        <v>155</v>
      </c>
      <c r="B282">
        <v>35.2</v>
      </c>
      <c r="C282">
        <v>6.8</v>
      </c>
      <c r="D282">
        <v>23.4</v>
      </c>
      <c r="E282" s="10">
        <f t="shared" si="33"/>
        <v>21.8</v>
      </c>
    </row>
    <row r="283" spans="1:5">
      <c r="A283" t="s">
        <v>156</v>
      </c>
      <c r="B283">
        <v>92.2</v>
      </c>
      <c r="C283">
        <v>93.6</v>
      </c>
      <c r="D283">
        <v>93.8</v>
      </c>
      <c r="E283" s="10">
        <f t="shared" si="33"/>
        <v>93.2</v>
      </c>
    </row>
    <row r="284" spans="1:5">
      <c r="A284" t="s">
        <v>157</v>
      </c>
      <c r="B284">
        <v>21.8</v>
      </c>
      <c r="C284">
        <v>4.2</v>
      </c>
      <c r="D284">
        <v>16</v>
      </c>
      <c r="E284" s="10">
        <f t="shared" si="33"/>
        <v>14</v>
      </c>
    </row>
    <row r="285" spans="1:5">
      <c r="A285" t="s">
        <v>158</v>
      </c>
      <c r="B285">
        <v>74</v>
      </c>
      <c r="C285">
        <v>46.4</v>
      </c>
      <c r="D285">
        <v>69.6</v>
      </c>
      <c r="E285" s="10">
        <f t="shared" si="33"/>
        <v>63.3333333333333</v>
      </c>
    </row>
    <row r="286" spans="1:5">
      <c r="A286" t="s">
        <v>159</v>
      </c>
      <c r="B286">
        <v>38.2</v>
      </c>
      <c r="C286">
        <v>13.6</v>
      </c>
      <c r="D286">
        <v>29.8</v>
      </c>
      <c r="E286" s="10">
        <f t="shared" si="33"/>
        <v>27.2</v>
      </c>
    </row>
    <row r="287" spans="1:5">
      <c r="A287" t="s">
        <v>160</v>
      </c>
      <c r="B287">
        <v>75.8</v>
      </c>
      <c r="C287">
        <v>72.6</v>
      </c>
      <c r="D287">
        <v>75.2</v>
      </c>
      <c r="E287" s="10">
        <f t="shared" si="33"/>
        <v>74.5333333333333</v>
      </c>
    </row>
    <row r="288" spans="1:5">
      <c r="A288" t="s">
        <v>161</v>
      </c>
      <c r="B288">
        <v>86.2</v>
      </c>
      <c r="C288">
        <v>92</v>
      </c>
      <c r="D288">
        <v>84.5</v>
      </c>
      <c r="E288" s="10">
        <f t="shared" ref="E288:E319" si="34">AVERAGE(B288:D288)</f>
        <v>87.5666666666667</v>
      </c>
    </row>
    <row r="289" spans="1:5">
      <c r="A289" t="s">
        <v>162</v>
      </c>
      <c r="B289">
        <v>91.8</v>
      </c>
      <c r="C289">
        <v>93.6</v>
      </c>
      <c r="D289">
        <v>92.9</v>
      </c>
      <c r="E289" s="10">
        <f t="shared" si="34"/>
        <v>92.7666666666667</v>
      </c>
    </row>
    <row r="290" spans="1:5">
      <c r="A290" t="s">
        <v>163</v>
      </c>
      <c r="B290">
        <v>88.1</v>
      </c>
      <c r="C290">
        <v>81.6</v>
      </c>
      <c r="D290">
        <v>82</v>
      </c>
      <c r="E290" s="10">
        <f t="shared" si="34"/>
        <v>83.9</v>
      </c>
    </row>
    <row r="291" spans="1:5">
      <c r="A291" t="s">
        <v>164</v>
      </c>
      <c r="B291">
        <v>73.4</v>
      </c>
      <c r="C291">
        <v>59.8</v>
      </c>
      <c r="D291">
        <v>72</v>
      </c>
      <c r="E291" s="10">
        <f t="shared" si="34"/>
        <v>68.4</v>
      </c>
    </row>
    <row r="292" spans="1:5">
      <c r="A292" t="s">
        <v>165</v>
      </c>
      <c r="B292">
        <v>81.7</v>
      </c>
      <c r="C292">
        <v>73.2</v>
      </c>
      <c r="D292">
        <v>80.1</v>
      </c>
      <c r="E292" s="10">
        <f t="shared" si="34"/>
        <v>78.3333333333333</v>
      </c>
    </row>
    <row r="293" spans="1:5">
      <c r="A293" t="s">
        <v>166</v>
      </c>
      <c r="B293">
        <v>90.8</v>
      </c>
      <c r="C293">
        <v>93.8</v>
      </c>
      <c r="D293">
        <v>92.9</v>
      </c>
      <c r="E293" s="10">
        <f t="shared" si="34"/>
        <v>92.5</v>
      </c>
    </row>
    <row r="294" spans="1:5">
      <c r="A294" t="s">
        <v>167</v>
      </c>
      <c r="B294">
        <v>84.2</v>
      </c>
      <c r="C294">
        <v>74.6</v>
      </c>
      <c r="D294">
        <v>73.4</v>
      </c>
      <c r="E294" s="10">
        <f t="shared" si="34"/>
        <v>77.4</v>
      </c>
    </row>
    <row r="295" spans="1:5">
      <c r="A295" t="s">
        <v>168</v>
      </c>
      <c r="B295">
        <v>86.2</v>
      </c>
      <c r="C295">
        <v>87.2</v>
      </c>
      <c r="D295">
        <v>94.4</v>
      </c>
      <c r="E295" s="10">
        <f t="shared" si="34"/>
        <v>89.2666666666667</v>
      </c>
    </row>
    <row r="296" spans="1:5">
      <c r="A296" t="s">
        <v>169</v>
      </c>
      <c r="B296">
        <v>88</v>
      </c>
      <c r="C296">
        <v>82.4</v>
      </c>
      <c r="D296">
        <v>53.8</v>
      </c>
      <c r="E296" s="10">
        <f t="shared" si="34"/>
        <v>74.7333333333333</v>
      </c>
    </row>
    <row r="297" spans="1:5">
      <c r="A297" t="s">
        <v>170</v>
      </c>
      <c r="B297">
        <v>85.6</v>
      </c>
      <c r="C297">
        <v>79.6</v>
      </c>
      <c r="D297">
        <v>87.8</v>
      </c>
      <c r="E297" s="10">
        <f t="shared" si="34"/>
        <v>84.3333333333333</v>
      </c>
    </row>
    <row r="298" spans="1:5">
      <c r="A298" t="s">
        <v>171</v>
      </c>
      <c r="B298">
        <v>44.6</v>
      </c>
      <c r="C298">
        <v>33.2</v>
      </c>
      <c r="D298">
        <v>91.2</v>
      </c>
      <c r="E298" s="10">
        <f t="shared" si="34"/>
        <v>56.3333333333333</v>
      </c>
    </row>
    <row r="299" spans="1:5">
      <c r="A299" t="s">
        <v>172</v>
      </c>
      <c r="B299">
        <v>90.4</v>
      </c>
      <c r="C299">
        <v>91.4</v>
      </c>
      <c r="D299">
        <v>91.2</v>
      </c>
      <c r="E299" s="10">
        <f t="shared" si="34"/>
        <v>91</v>
      </c>
    </row>
    <row r="300" spans="1:5">
      <c r="A300" t="s">
        <v>173</v>
      </c>
      <c r="B300">
        <v>90.6</v>
      </c>
      <c r="C300">
        <v>89.6</v>
      </c>
      <c r="D300">
        <v>93</v>
      </c>
      <c r="E300" s="10">
        <f t="shared" si="34"/>
        <v>91.0666666666667</v>
      </c>
    </row>
    <row r="301" spans="1:5">
      <c r="A301" t="s">
        <v>174</v>
      </c>
      <c r="B301">
        <v>91.4</v>
      </c>
      <c r="C301">
        <v>87</v>
      </c>
      <c r="D301">
        <v>93</v>
      </c>
      <c r="E301" s="10">
        <f t="shared" si="34"/>
        <v>90.4666666666667</v>
      </c>
    </row>
    <row r="302" spans="1:5">
      <c r="A302" t="s">
        <v>175</v>
      </c>
      <c r="B302">
        <v>90.4</v>
      </c>
      <c r="C302">
        <v>89.6</v>
      </c>
      <c r="D302">
        <v>91.2</v>
      </c>
      <c r="E302" s="10">
        <f t="shared" si="34"/>
        <v>90.4</v>
      </c>
    </row>
    <row r="303" spans="1:5">
      <c r="A303" t="s">
        <v>176</v>
      </c>
      <c r="B303">
        <v>89.6</v>
      </c>
      <c r="C303">
        <v>87.8</v>
      </c>
      <c r="D303">
        <v>93.4</v>
      </c>
      <c r="E303" s="10">
        <f t="shared" si="34"/>
        <v>90.2666666666667</v>
      </c>
    </row>
    <row r="304" spans="1:5">
      <c r="A304" t="s">
        <v>177</v>
      </c>
      <c r="B304">
        <v>58</v>
      </c>
      <c r="C304">
        <v>28.8</v>
      </c>
      <c r="D304">
        <v>54.2</v>
      </c>
      <c r="E304" s="10">
        <f t="shared" si="34"/>
        <v>47</v>
      </c>
    </row>
    <row r="305" spans="1:5">
      <c r="A305" t="s">
        <v>178</v>
      </c>
      <c r="B305">
        <v>91.4</v>
      </c>
      <c r="C305">
        <v>90.2</v>
      </c>
      <c r="D305">
        <v>91.2</v>
      </c>
      <c r="E305" s="10">
        <f t="shared" si="34"/>
        <v>90.9333333333333</v>
      </c>
    </row>
    <row r="306" spans="1:5">
      <c r="A306" t="s">
        <v>179</v>
      </c>
      <c r="B306">
        <v>91</v>
      </c>
      <c r="C306">
        <v>89.6</v>
      </c>
      <c r="D306">
        <v>93.4</v>
      </c>
      <c r="E306" s="10">
        <f t="shared" si="34"/>
        <v>91.3333333333333</v>
      </c>
    </row>
    <row r="307" spans="1:5">
      <c r="A307" t="s">
        <v>180</v>
      </c>
      <c r="B307">
        <v>91.6</v>
      </c>
      <c r="C307">
        <v>91.4</v>
      </c>
      <c r="D307">
        <v>91.8</v>
      </c>
      <c r="E307" s="10">
        <f t="shared" si="34"/>
        <v>91.6</v>
      </c>
    </row>
    <row r="308" spans="1:5">
      <c r="A308" t="s">
        <v>181</v>
      </c>
      <c r="B308">
        <v>89.4</v>
      </c>
      <c r="C308">
        <v>86.6</v>
      </c>
      <c r="D308">
        <v>87.6</v>
      </c>
      <c r="E308" s="10">
        <f t="shared" si="34"/>
        <v>87.8666666666667</v>
      </c>
    </row>
    <row r="309" spans="1:5">
      <c r="A309" t="s">
        <v>182</v>
      </c>
      <c r="B309">
        <v>89.6</v>
      </c>
      <c r="C309">
        <v>89.6</v>
      </c>
      <c r="D309">
        <v>88.6</v>
      </c>
      <c r="E309" s="10">
        <f t="shared" si="34"/>
        <v>89.2666666666667</v>
      </c>
    </row>
    <row r="310" spans="1:5">
      <c r="A310" t="s">
        <v>183</v>
      </c>
      <c r="B310">
        <v>87.2</v>
      </c>
      <c r="C310">
        <v>77.6</v>
      </c>
      <c r="D310">
        <v>89</v>
      </c>
      <c r="E310" s="10">
        <f t="shared" si="34"/>
        <v>84.6</v>
      </c>
    </row>
    <row r="311" spans="1:5">
      <c r="A311" t="s">
        <v>184</v>
      </c>
      <c r="B311">
        <v>87.2</v>
      </c>
      <c r="C311">
        <v>73.6</v>
      </c>
      <c r="D311">
        <v>89</v>
      </c>
      <c r="E311" s="10">
        <f t="shared" si="34"/>
        <v>83.2666666666667</v>
      </c>
    </row>
    <row r="312" spans="1:5">
      <c r="A312" t="s">
        <v>185</v>
      </c>
      <c r="B312">
        <v>92.2</v>
      </c>
      <c r="C312">
        <v>91.8</v>
      </c>
      <c r="D312">
        <v>93.4</v>
      </c>
      <c r="E312" s="10">
        <f t="shared" si="34"/>
        <v>92.4666666666667</v>
      </c>
    </row>
    <row r="313" spans="1:5">
      <c r="A313" t="s">
        <v>186</v>
      </c>
      <c r="B313">
        <v>94</v>
      </c>
      <c r="C313">
        <v>94.6</v>
      </c>
      <c r="D313">
        <v>94.4</v>
      </c>
      <c r="E313" s="10">
        <f t="shared" si="34"/>
        <v>94.3333333333333</v>
      </c>
    </row>
    <row r="314" spans="1:5">
      <c r="A314" t="s">
        <v>187</v>
      </c>
      <c r="B314">
        <v>91.8</v>
      </c>
      <c r="C314">
        <v>89.5</v>
      </c>
      <c r="D314">
        <v>90</v>
      </c>
      <c r="E314" s="10">
        <f t="shared" si="34"/>
        <v>90.4333333333333</v>
      </c>
    </row>
    <row r="315" spans="1:5">
      <c r="A315" t="s">
        <v>188</v>
      </c>
      <c r="B315">
        <v>90</v>
      </c>
      <c r="C315">
        <v>87.8</v>
      </c>
      <c r="D315">
        <v>89.4</v>
      </c>
      <c r="E315" s="10">
        <f t="shared" si="34"/>
        <v>89.0666666666667</v>
      </c>
    </row>
    <row r="316" spans="1:5">
      <c r="A316" t="s">
        <v>189</v>
      </c>
      <c r="B316">
        <v>36.2</v>
      </c>
      <c r="C316">
        <v>36</v>
      </c>
      <c r="D316">
        <v>33.6</v>
      </c>
      <c r="E316" s="10">
        <f t="shared" si="34"/>
        <v>35.2666666666667</v>
      </c>
    </row>
    <row r="317" spans="1:5">
      <c r="A317" t="s">
        <v>190</v>
      </c>
      <c r="B317">
        <v>94.2</v>
      </c>
      <c r="C317">
        <v>97.4</v>
      </c>
      <c r="D317">
        <v>95</v>
      </c>
      <c r="E317" s="10">
        <f t="shared" si="34"/>
        <v>95.5333333333333</v>
      </c>
    </row>
    <row r="318" spans="1:5">
      <c r="A318" t="s">
        <v>191</v>
      </c>
      <c r="B318">
        <v>51.2</v>
      </c>
      <c r="C318">
        <v>71.2</v>
      </c>
      <c r="D318">
        <v>48.6</v>
      </c>
      <c r="E318" s="10">
        <f t="shared" si="34"/>
        <v>57</v>
      </c>
    </row>
    <row r="319" spans="1:5">
      <c r="A319" t="s">
        <v>192</v>
      </c>
      <c r="B319">
        <v>89.6</v>
      </c>
      <c r="C319">
        <v>87.8</v>
      </c>
      <c r="D319">
        <v>87.8</v>
      </c>
      <c r="E319" s="10">
        <f t="shared" si="34"/>
        <v>88.4</v>
      </c>
    </row>
    <row r="320" spans="1:5">
      <c r="A320" t="s">
        <v>193</v>
      </c>
      <c r="B320">
        <v>37.8</v>
      </c>
      <c r="C320">
        <v>37</v>
      </c>
      <c r="D320">
        <v>36</v>
      </c>
      <c r="E320" s="10">
        <f t="shared" ref="E320:E351" si="35">AVERAGE(B320:D320)</f>
        <v>36.9333333333333</v>
      </c>
    </row>
    <row r="321" spans="1:5">
      <c r="A321" t="s">
        <v>194</v>
      </c>
      <c r="B321">
        <v>78.6</v>
      </c>
      <c r="C321">
        <v>74.6</v>
      </c>
      <c r="D321">
        <v>87.8</v>
      </c>
      <c r="E321" s="10">
        <f t="shared" si="35"/>
        <v>80.3333333333333</v>
      </c>
    </row>
    <row r="322" spans="1:5">
      <c r="A322" t="s">
        <v>195</v>
      </c>
      <c r="B322">
        <v>91.2</v>
      </c>
      <c r="C322">
        <v>91.2</v>
      </c>
      <c r="D322">
        <v>89.8</v>
      </c>
      <c r="E322" s="10">
        <f t="shared" si="35"/>
        <v>90.7333333333333</v>
      </c>
    </row>
    <row r="323" spans="1:5">
      <c r="A323" t="s">
        <v>196</v>
      </c>
      <c r="B323">
        <v>91.4</v>
      </c>
      <c r="C323">
        <v>89.4</v>
      </c>
      <c r="D323">
        <v>89.8</v>
      </c>
      <c r="E323" s="10">
        <f t="shared" si="35"/>
        <v>90.2</v>
      </c>
    </row>
    <row r="324" spans="1:5">
      <c r="A324" t="s">
        <v>197</v>
      </c>
      <c r="B324">
        <v>90</v>
      </c>
      <c r="C324">
        <v>85.4</v>
      </c>
      <c r="D324">
        <v>87.8</v>
      </c>
      <c r="E324" s="10">
        <f t="shared" si="35"/>
        <v>87.7333333333333</v>
      </c>
    </row>
    <row r="325" spans="1:5">
      <c r="A325" t="s">
        <v>198</v>
      </c>
      <c r="B325">
        <v>91.2</v>
      </c>
      <c r="C325">
        <v>91.2</v>
      </c>
      <c r="D325">
        <v>89.8</v>
      </c>
      <c r="E325" s="10">
        <f t="shared" si="35"/>
        <v>90.7333333333333</v>
      </c>
    </row>
    <row r="326" spans="1:5">
      <c r="A326" t="s">
        <v>199</v>
      </c>
      <c r="B326">
        <v>90.2</v>
      </c>
      <c r="C326">
        <v>85.4</v>
      </c>
      <c r="D326">
        <v>89.8</v>
      </c>
      <c r="E326" s="10">
        <f t="shared" si="35"/>
        <v>88.4666666666667</v>
      </c>
    </row>
    <row r="327" spans="1:5">
      <c r="A327" t="s">
        <v>200</v>
      </c>
      <c r="B327">
        <v>91</v>
      </c>
      <c r="C327">
        <v>89.4</v>
      </c>
      <c r="D327">
        <v>89.8</v>
      </c>
      <c r="E327" s="10">
        <f t="shared" si="35"/>
        <v>90.0666666666667</v>
      </c>
    </row>
    <row r="328" spans="1:5">
      <c r="A328" t="s">
        <v>201</v>
      </c>
      <c r="B328">
        <v>89.2</v>
      </c>
      <c r="C328">
        <v>83</v>
      </c>
      <c r="D328">
        <v>82</v>
      </c>
      <c r="E328" s="10">
        <f t="shared" si="35"/>
        <v>84.7333333333333</v>
      </c>
    </row>
    <row r="329" spans="1:5">
      <c r="A329" t="s">
        <v>202</v>
      </c>
      <c r="B329">
        <v>91.4</v>
      </c>
      <c r="C329">
        <v>91.8</v>
      </c>
      <c r="D329">
        <v>90</v>
      </c>
      <c r="E329" s="10">
        <f t="shared" si="35"/>
        <v>91.0666666666667</v>
      </c>
    </row>
    <row r="330" spans="1:5">
      <c r="A330" t="s">
        <v>203</v>
      </c>
      <c r="B330">
        <v>89.2</v>
      </c>
      <c r="C330">
        <v>83.8</v>
      </c>
      <c r="D330">
        <v>87.8</v>
      </c>
      <c r="E330" s="10">
        <f t="shared" si="35"/>
        <v>86.9333333333333</v>
      </c>
    </row>
    <row r="331" spans="1:5">
      <c r="A331" t="s">
        <v>204</v>
      </c>
      <c r="B331">
        <v>92</v>
      </c>
      <c r="C331">
        <v>88.2</v>
      </c>
      <c r="D331">
        <v>92.6</v>
      </c>
      <c r="E331" s="10">
        <f t="shared" si="35"/>
        <v>90.9333333333333</v>
      </c>
    </row>
    <row r="332" spans="1:5">
      <c r="A332" t="s">
        <v>205</v>
      </c>
      <c r="B332">
        <v>88.6</v>
      </c>
      <c r="C332">
        <v>81.8</v>
      </c>
      <c r="D332">
        <v>88.6</v>
      </c>
      <c r="E332" s="10">
        <f t="shared" si="35"/>
        <v>86.3333333333333</v>
      </c>
    </row>
    <row r="333" spans="1:5">
      <c r="A333" t="s">
        <v>206</v>
      </c>
      <c r="B333">
        <v>51.4</v>
      </c>
      <c r="C333">
        <v>50.2</v>
      </c>
      <c r="D333">
        <v>50.6</v>
      </c>
      <c r="E333" s="10">
        <f t="shared" si="35"/>
        <v>50.7333333333333</v>
      </c>
    </row>
    <row r="334" spans="1:5">
      <c r="A334" t="s">
        <v>207</v>
      </c>
      <c r="B334">
        <v>93</v>
      </c>
      <c r="C334">
        <v>90.6</v>
      </c>
      <c r="D334">
        <v>93.4</v>
      </c>
      <c r="E334" s="10">
        <f t="shared" si="35"/>
        <v>92.3333333333333</v>
      </c>
    </row>
    <row r="335" spans="1:5">
      <c r="A335" t="s">
        <v>208</v>
      </c>
      <c r="B335">
        <v>88.6</v>
      </c>
      <c r="C335">
        <v>80.2</v>
      </c>
      <c r="D335">
        <v>88.6</v>
      </c>
      <c r="E335" s="10">
        <f t="shared" si="35"/>
        <v>85.8</v>
      </c>
    </row>
    <row r="336" spans="1:5">
      <c r="A336" t="s">
        <v>209</v>
      </c>
      <c r="B336">
        <v>92.4</v>
      </c>
      <c r="C336">
        <v>87.4</v>
      </c>
      <c r="D336">
        <v>93.2</v>
      </c>
      <c r="E336" s="10">
        <f t="shared" si="35"/>
        <v>91</v>
      </c>
    </row>
    <row r="337" spans="1:5">
      <c r="A337" t="s">
        <v>210</v>
      </c>
      <c r="B337">
        <v>92.4</v>
      </c>
      <c r="C337">
        <v>87.4</v>
      </c>
      <c r="D337">
        <v>93.2</v>
      </c>
      <c r="E337" s="10">
        <f t="shared" si="35"/>
        <v>91</v>
      </c>
    </row>
    <row r="338" spans="1:5">
      <c r="A338" t="s">
        <v>211</v>
      </c>
      <c r="B338">
        <v>93</v>
      </c>
      <c r="C338">
        <v>90.2</v>
      </c>
      <c r="D338">
        <v>93.4</v>
      </c>
      <c r="E338" s="10">
        <f t="shared" si="35"/>
        <v>92.2</v>
      </c>
    </row>
    <row r="339" spans="1:5">
      <c r="A339" t="s">
        <v>212</v>
      </c>
      <c r="B339">
        <v>94.4</v>
      </c>
      <c r="C339">
        <v>92.8</v>
      </c>
      <c r="D339">
        <v>95.8</v>
      </c>
      <c r="E339" s="10">
        <f t="shared" si="35"/>
        <v>94.3333333333333</v>
      </c>
    </row>
    <row r="340" spans="1:5">
      <c r="A340" t="s">
        <v>213</v>
      </c>
      <c r="B340">
        <v>32.6</v>
      </c>
      <c r="C340">
        <v>21.8</v>
      </c>
      <c r="D340">
        <v>28.4</v>
      </c>
      <c r="E340" s="10">
        <f t="shared" si="35"/>
        <v>27.6</v>
      </c>
    </row>
    <row r="341" spans="1:5">
      <c r="A341" t="s">
        <v>214</v>
      </c>
      <c r="B341">
        <v>88.6</v>
      </c>
      <c r="C341">
        <v>80.6</v>
      </c>
      <c r="D341">
        <v>88.6</v>
      </c>
      <c r="E341" s="10">
        <f t="shared" si="35"/>
        <v>85.9333333333333</v>
      </c>
    </row>
    <row r="342" spans="1:5">
      <c r="A342" t="s">
        <v>215</v>
      </c>
      <c r="B342">
        <v>90</v>
      </c>
      <c r="C342">
        <v>93.2</v>
      </c>
      <c r="D342">
        <v>94</v>
      </c>
      <c r="E342" s="10">
        <f t="shared" si="35"/>
        <v>92.4</v>
      </c>
    </row>
    <row r="343" spans="1:5">
      <c r="A343" t="s">
        <v>216</v>
      </c>
      <c r="B343">
        <v>91.4</v>
      </c>
      <c r="C343">
        <v>84.8</v>
      </c>
      <c r="D343">
        <v>92</v>
      </c>
      <c r="E343" s="10">
        <f t="shared" si="35"/>
        <v>89.4</v>
      </c>
    </row>
    <row r="344" spans="1:5">
      <c r="A344" t="s">
        <v>217</v>
      </c>
      <c r="B344">
        <v>88.6</v>
      </c>
      <c r="C344">
        <v>83.8</v>
      </c>
      <c r="D344">
        <v>90</v>
      </c>
      <c r="E344" s="10">
        <f t="shared" si="35"/>
        <v>87.4666666666667</v>
      </c>
    </row>
    <row r="345" spans="1:5">
      <c r="A345" t="s">
        <v>218</v>
      </c>
      <c r="B345">
        <v>81.4</v>
      </c>
      <c r="C345">
        <v>77.8</v>
      </c>
      <c r="D345">
        <v>88.2</v>
      </c>
      <c r="E345" s="10">
        <f t="shared" si="35"/>
        <v>82.4666666666667</v>
      </c>
    </row>
    <row r="346" spans="1:5">
      <c r="A346" t="s">
        <v>219</v>
      </c>
      <c r="B346">
        <v>81.5</v>
      </c>
      <c r="C346">
        <v>84.4</v>
      </c>
      <c r="D346">
        <v>90.6</v>
      </c>
      <c r="E346" s="10">
        <f t="shared" si="35"/>
        <v>85.5</v>
      </c>
    </row>
    <row r="347" spans="1:5">
      <c r="A347" t="s">
        <v>220</v>
      </c>
      <c r="B347">
        <v>61.4</v>
      </c>
      <c r="C347">
        <v>56</v>
      </c>
      <c r="D347">
        <v>52.8</v>
      </c>
      <c r="E347" s="10">
        <f t="shared" si="35"/>
        <v>56.7333333333333</v>
      </c>
    </row>
    <row r="348" spans="1:5">
      <c r="A348" t="s">
        <v>221</v>
      </c>
      <c r="B348">
        <v>88.6</v>
      </c>
      <c r="C348">
        <v>79.8</v>
      </c>
      <c r="D348">
        <v>88.2</v>
      </c>
      <c r="E348" s="10">
        <f t="shared" si="35"/>
        <v>85.5333333333333</v>
      </c>
    </row>
    <row r="349" spans="1:5">
      <c r="A349" t="s">
        <v>222</v>
      </c>
      <c r="B349">
        <v>89.2</v>
      </c>
      <c r="C349">
        <v>85.8</v>
      </c>
      <c r="D349">
        <v>90.8</v>
      </c>
      <c r="E349" s="10">
        <f t="shared" si="35"/>
        <v>88.6</v>
      </c>
    </row>
    <row r="350" spans="1:5">
      <c r="A350" t="s">
        <v>223</v>
      </c>
      <c r="B350">
        <v>73.2</v>
      </c>
      <c r="C350">
        <v>73.2</v>
      </c>
      <c r="D350">
        <v>86.6</v>
      </c>
      <c r="E350" s="10">
        <f t="shared" si="35"/>
        <v>77.6666666666667</v>
      </c>
    </row>
    <row r="351" spans="1:5">
      <c r="A351" t="s">
        <v>224</v>
      </c>
      <c r="B351">
        <v>89.4</v>
      </c>
      <c r="C351">
        <v>87</v>
      </c>
      <c r="D351">
        <v>93</v>
      </c>
      <c r="E351" s="10">
        <f t="shared" si="35"/>
        <v>89.8</v>
      </c>
    </row>
    <row r="352" spans="1:5">
      <c r="A352" t="s">
        <v>225</v>
      </c>
      <c r="B352">
        <v>43.6</v>
      </c>
      <c r="C352">
        <v>26.6</v>
      </c>
      <c r="D352">
        <v>40.2</v>
      </c>
      <c r="E352" s="10">
        <f t="shared" ref="E352:E383" si="36">AVERAGE(B352:D352)</f>
        <v>36.8</v>
      </c>
    </row>
    <row r="353" spans="1:5">
      <c r="A353" t="s">
        <v>226</v>
      </c>
      <c r="B353">
        <v>74.7</v>
      </c>
      <c r="C353">
        <v>78</v>
      </c>
      <c r="D353">
        <v>90.4</v>
      </c>
      <c r="E353" s="10">
        <f t="shared" si="36"/>
        <v>81.0333333333333</v>
      </c>
    </row>
    <row r="354" spans="1:5">
      <c r="A354" t="s">
        <v>227</v>
      </c>
      <c r="B354">
        <v>89</v>
      </c>
      <c r="C354">
        <v>80.6</v>
      </c>
      <c r="D354">
        <v>90.2</v>
      </c>
      <c r="E354" s="10">
        <f t="shared" si="36"/>
        <v>86.6</v>
      </c>
    </row>
    <row r="355" spans="1:5">
      <c r="A355" t="s">
        <v>228</v>
      </c>
      <c r="B355">
        <v>88.2</v>
      </c>
      <c r="C355">
        <v>84.6</v>
      </c>
      <c r="D355">
        <v>90.4</v>
      </c>
      <c r="E355" s="10">
        <f t="shared" si="36"/>
        <v>87.7333333333333</v>
      </c>
    </row>
    <row r="356" spans="1:5">
      <c r="A356" t="s">
        <v>229</v>
      </c>
      <c r="B356">
        <v>89</v>
      </c>
      <c r="C356">
        <v>75.6</v>
      </c>
      <c r="D356">
        <v>89.4</v>
      </c>
      <c r="E356" s="10">
        <f t="shared" si="36"/>
        <v>84.6666666666667</v>
      </c>
    </row>
    <row r="357" spans="1:5">
      <c r="A357" t="s">
        <v>230</v>
      </c>
      <c r="B357">
        <v>88.6</v>
      </c>
      <c r="C357">
        <v>75.6</v>
      </c>
      <c r="D357">
        <v>89.4</v>
      </c>
      <c r="E357" s="10">
        <f t="shared" si="36"/>
        <v>84.5333333333333</v>
      </c>
    </row>
    <row r="358" spans="1:5">
      <c r="A358" t="s">
        <v>231</v>
      </c>
      <c r="B358">
        <v>87.8</v>
      </c>
      <c r="C358">
        <v>74</v>
      </c>
      <c r="D358">
        <v>88.4</v>
      </c>
      <c r="E358" s="10">
        <f t="shared" si="36"/>
        <v>83.4</v>
      </c>
    </row>
    <row r="359" spans="1:5">
      <c r="A359" t="s">
        <v>232</v>
      </c>
      <c r="B359">
        <v>64.2</v>
      </c>
      <c r="C359">
        <v>67</v>
      </c>
      <c r="D359">
        <v>82.2</v>
      </c>
      <c r="E359" s="10">
        <f t="shared" si="36"/>
        <v>71.1333333333333</v>
      </c>
    </row>
    <row r="360" spans="1:5">
      <c r="A360" t="s">
        <v>233</v>
      </c>
      <c r="B360">
        <v>68.6</v>
      </c>
      <c r="C360">
        <v>67.2</v>
      </c>
      <c r="D360">
        <v>73.6</v>
      </c>
      <c r="E360" s="10">
        <f t="shared" si="36"/>
        <v>69.8</v>
      </c>
    </row>
    <row r="361" spans="1:5">
      <c r="A361" t="s">
        <v>234</v>
      </c>
      <c r="B361">
        <v>90.4</v>
      </c>
      <c r="C361">
        <v>86.6</v>
      </c>
      <c r="D361">
        <v>90.8</v>
      </c>
      <c r="E361" s="10">
        <f t="shared" si="36"/>
        <v>89.2666666666667</v>
      </c>
    </row>
    <row r="362" spans="1:5">
      <c r="A362" t="s">
        <v>235</v>
      </c>
      <c r="B362">
        <v>91.4</v>
      </c>
      <c r="C362">
        <v>90.4</v>
      </c>
      <c r="D362">
        <v>90.6</v>
      </c>
      <c r="E362" s="10">
        <f t="shared" si="36"/>
        <v>90.8</v>
      </c>
    </row>
    <row r="363" spans="1:5">
      <c r="A363" t="s">
        <v>236</v>
      </c>
      <c r="B363">
        <v>87.8</v>
      </c>
      <c r="C363">
        <v>74</v>
      </c>
      <c r="D363">
        <v>88.4</v>
      </c>
      <c r="E363" s="10">
        <f t="shared" si="36"/>
        <v>83.4</v>
      </c>
    </row>
    <row r="364" spans="1:5">
      <c r="A364" t="s">
        <v>237</v>
      </c>
      <c r="B364">
        <v>68.6</v>
      </c>
      <c r="C364">
        <v>67.2</v>
      </c>
      <c r="D364">
        <v>73.6</v>
      </c>
      <c r="E364" s="10">
        <f t="shared" si="36"/>
        <v>69.8</v>
      </c>
    </row>
    <row r="365" spans="1:5">
      <c r="A365" t="s">
        <v>238</v>
      </c>
      <c r="B365">
        <v>91.4</v>
      </c>
      <c r="C365">
        <v>90.4</v>
      </c>
      <c r="D365">
        <v>90.6</v>
      </c>
      <c r="E365" s="10">
        <f t="shared" si="36"/>
        <v>90.8</v>
      </c>
    </row>
    <row r="366" spans="1:5">
      <c r="A366" t="s">
        <v>239</v>
      </c>
      <c r="B366">
        <v>76.2</v>
      </c>
      <c r="C366">
        <v>73</v>
      </c>
      <c r="D366">
        <v>85.2</v>
      </c>
      <c r="E366" s="10">
        <f t="shared" si="36"/>
        <v>78.1333333333333</v>
      </c>
    </row>
    <row r="367" spans="1:5">
      <c r="A367" t="s">
        <v>240</v>
      </c>
      <c r="B367">
        <v>91.4</v>
      </c>
      <c r="C367">
        <v>84.6</v>
      </c>
      <c r="D367">
        <v>86.2</v>
      </c>
      <c r="E367" s="10">
        <f t="shared" si="36"/>
        <v>87.4</v>
      </c>
    </row>
    <row r="368" spans="1:5">
      <c r="A368" t="s">
        <v>241</v>
      </c>
      <c r="B368">
        <v>88.6</v>
      </c>
      <c r="C368">
        <v>79.4</v>
      </c>
      <c r="D368">
        <v>86</v>
      </c>
      <c r="E368" s="10">
        <f t="shared" si="36"/>
        <v>84.6666666666667</v>
      </c>
    </row>
    <row r="369" spans="1:5">
      <c r="A369" t="s">
        <v>242</v>
      </c>
      <c r="B369">
        <v>82.4</v>
      </c>
      <c r="C369">
        <v>67</v>
      </c>
      <c r="D369">
        <v>81.4</v>
      </c>
      <c r="E369" s="10">
        <f t="shared" si="36"/>
        <v>76.9333333333333</v>
      </c>
    </row>
    <row r="370" spans="1:5">
      <c r="A370" t="s">
        <v>243</v>
      </c>
      <c r="B370">
        <v>90.2</v>
      </c>
      <c r="C370">
        <v>82.2</v>
      </c>
      <c r="D370">
        <v>87.2</v>
      </c>
      <c r="E370" s="10">
        <f t="shared" si="36"/>
        <v>86.5333333333333</v>
      </c>
    </row>
    <row r="371" spans="1:5">
      <c r="A371" t="s">
        <v>244</v>
      </c>
      <c r="B371">
        <v>83.4</v>
      </c>
      <c r="C371">
        <v>71.8</v>
      </c>
      <c r="D371">
        <v>81.4</v>
      </c>
      <c r="E371" s="10">
        <f t="shared" si="36"/>
        <v>78.8666666666667</v>
      </c>
    </row>
    <row r="372" spans="1:5">
      <c r="A372" t="s">
        <v>245</v>
      </c>
      <c r="B372">
        <v>94.2</v>
      </c>
      <c r="C372">
        <v>90.6</v>
      </c>
      <c r="D372">
        <v>89.4</v>
      </c>
      <c r="E372" s="10">
        <f t="shared" si="36"/>
        <v>91.4</v>
      </c>
    </row>
    <row r="373" spans="1:5">
      <c r="A373" t="s">
        <v>246</v>
      </c>
      <c r="B373">
        <v>83</v>
      </c>
      <c r="C373">
        <v>71.8</v>
      </c>
      <c r="D373">
        <v>81.4</v>
      </c>
      <c r="E373" s="10">
        <f t="shared" si="36"/>
        <v>78.7333333333333</v>
      </c>
    </row>
    <row r="374" spans="1:5">
      <c r="A374" t="s">
        <v>247</v>
      </c>
      <c r="B374">
        <v>85.2</v>
      </c>
      <c r="C374">
        <v>71.6</v>
      </c>
      <c r="D374">
        <v>83</v>
      </c>
      <c r="E374" s="10">
        <f t="shared" si="36"/>
        <v>79.9333333333333</v>
      </c>
    </row>
    <row r="375" spans="1:5">
      <c r="A375" t="s">
        <v>248</v>
      </c>
      <c r="B375">
        <v>93.4</v>
      </c>
      <c r="C375">
        <v>90</v>
      </c>
      <c r="D375">
        <v>91.6</v>
      </c>
      <c r="E375" s="10">
        <f t="shared" si="36"/>
        <v>91.6666666666667</v>
      </c>
    </row>
    <row r="376" spans="1:5">
      <c r="A376" t="s">
        <v>249</v>
      </c>
      <c r="B376">
        <v>89</v>
      </c>
      <c r="C376">
        <v>82.8</v>
      </c>
      <c r="D376">
        <v>86.2</v>
      </c>
      <c r="E376" s="10">
        <f t="shared" si="36"/>
        <v>86</v>
      </c>
    </row>
    <row r="377" spans="1:5">
      <c r="A377" t="s">
        <v>250</v>
      </c>
      <c r="B377">
        <v>90.2</v>
      </c>
      <c r="C377">
        <v>86.6</v>
      </c>
      <c r="D377">
        <v>87.2</v>
      </c>
      <c r="E377" s="10">
        <f t="shared" si="36"/>
        <v>88</v>
      </c>
    </row>
    <row r="378" spans="1:5">
      <c r="A378" t="s">
        <v>251</v>
      </c>
      <c r="B378">
        <v>83.4</v>
      </c>
      <c r="C378">
        <v>70.6</v>
      </c>
      <c r="D378">
        <v>81.4</v>
      </c>
      <c r="E378" s="10">
        <f t="shared" si="36"/>
        <v>78.4666666666667</v>
      </c>
    </row>
    <row r="379" spans="1:5">
      <c r="A379" t="s">
        <v>252</v>
      </c>
      <c r="B379">
        <v>89.4</v>
      </c>
      <c r="C379">
        <v>83.4</v>
      </c>
      <c r="D379">
        <v>86</v>
      </c>
      <c r="E379" s="10">
        <f t="shared" si="36"/>
        <v>86.2666666666667</v>
      </c>
    </row>
    <row r="380" spans="1:5">
      <c r="A380" t="s">
        <v>253</v>
      </c>
      <c r="B380">
        <v>92.2</v>
      </c>
      <c r="C380">
        <v>89.8</v>
      </c>
      <c r="D380">
        <v>88.2</v>
      </c>
      <c r="E380" s="10">
        <f t="shared" si="36"/>
        <v>90.0666666666667</v>
      </c>
    </row>
    <row r="381" spans="1:5">
      <c r="A381" t="s">
        <v>254</v>
      </c>
      <c r="B381">
        <v>91</v>
      </c>
      <c r="C381">
        <v>88.8</v>
      </c>
      <c r="D381">
        <v>91.2</v>
      </c>
      <c r="E381" s="10">
        <f t="shared" si="36"/>
        <v>90.3333333333333</v>
      </c>
    </row>
    <row r="382" spans="1:5">
      <c r="A382" t="s">
        <v>255</v>
      </c>
      <c r="B382">
        <v>89</v>
      </c>
      <c r="C382">
        <v>82.8</v>
      </c>
      <c r="D382">
        <v>84.2</v>
      </c>
      <c r="E382" s="10">
        <f t="shared" si="36"/>
        <v>85.3333333333333</v>
      </c>
    </row>
    <row r="383" spans="1:5">
      <c r="A383" t="s">
        <v>256</v>
      </c>
      <c r="B383">
        <v>85.4</v>
      </c>
      <c r="C383">
        <v>71.6</v>
      </c>
      <c r="D383">
        <v>82.6</v>
      </c>
      <c r="E383" s="10">
        <f t="shared" si="36"/>
        <v>79.8666666666667</v>
      </c>
    </row>
    <row r="384" spans="1:5">
      <c r="A384" t="s">
        <v>257</v>
      </c>
      <c r="B384">
        <v>83.4</v>
      </c>
      <c r="C384">
        <v>83.4</v>
      </c>
      <c r="D384">
        <v>82.4</v>
      </c>
      <c r="E384" s="10">
        <f t="shared" ref="E384:E402" si="37">AVERAGE(B384:D384)</f>
        <v>83.0666666666667</v>
      </c>
    </row>
    <row r="385" spans="1:5">
      <c r="A385" t="s">
        <v>258</v>
      </c>
      <c r="B385">
        <v>94.6</v>
      </c>
      <c r="C385">
        <v>94</v>
      </c>
      <c r="D385">
        <v>92.2</v>
      </c>
      <c r="E385" s="10">
        <f t="shared" si="37"/>
        <v>93.6</v>
      </c>
    </row>
    <row r="386" spans="1:5">
      <c r="A386" t="s">
        <v>259</v>
      </c>
      <c r="B386">
        <v>89.2</v>
      </c>
      <c r="C386">
        <v>80.4</v>
      </c>
      <c r="D386">
        <v>83.6</v>
      </c>
      <c r="E386" s="10">
        <f t="shared" si="37"/>
        <v>84.4</v>
      </c>
    </row>
    <row r="387" spans="1:5">
      <c r="A387" t="s">
        <v>260</v>
      </c>
      <c r="B387">
        <v>89.2</v>
      </c>
      <c r="C387">
        <v>80.4</v>
      </c>
      <c r="D387">
        <v>90.2</v>
      </c>
      <c r="E387" s="10">
        <f t="shared" si="37"/>
        <v>86.6</v>
      </c>
    </row>
    <row r="388" spans="1:5">
      <c r="A388" t="s">
        <v>261</v>
      </c>
      <c r="B388">
        <v>26.2</v>
      </c>
      <c r="C388">
        <v>22.6</v>
      </c>
      <c r="D388">
        <v>33.8</v>
      </c>
      <c r="E388" s="10">
        <f t="shared" si="37"/>
        <v>27.5333333333333</v>
      </c>
    </row>
    <row r="389" spans="1:5">
      <c r="A389" t="s">
        <v>262</v>
      </c>
      <c r="B389">
        <v>89.2</v>
      </c>
      <c r="C389">
        <v>83.4</v>
      </c>
      <c r="D389">
        <v>90.2</v>
      </c>
      <c r="E389" s="10">
        <f t="shared" si="37"/>
        <v>87.6</v>
      </c>
    </row>
    <row r="390" spans="1:5">
      <c r="A390" t="s">
        <v>263</v>
      </c>
      <c r="B390">
        <v>85</v>
      </c>
      <c r="C390">
        <v>79.8</v>
      </c>
      <c r="D390">
        <v>82</v>
      </c>
      <c r="E390" s="10">
        <f t="shared" si="37"/>
        <v>82.2666666666667</v>
      </c>
    </row>
    <row r="391" spans="1:5">
      <c r="A391" t="s">
        <v>264</v>
      </c>
      <c r="B391">
        <v>89.2</v>
      </c>
      <c r="C391">
        <v>85.6</v>
      </c>
      <c r="D391">
        <v>89.6</v>
      </c>
      <c r="E391" s="10">
        <f t="shared" si="37"/>
        <v>88.1333333333333</v>
      </c>
    </row>
    <row r="392" spans="1:5">
      <c r="A392" t="s">
        <v>265</v>
      </c>
      <c r="B392">
        <v>87.8</v>
      </c>
      <c r="C392">
        <v>80.6</v>
      </c>
      <c r="D392">
        <v>89.6</v>
      </c>
      <c r="E392" s="10">
        <f t="shared" si="37"/>
        <v>86</v>
      </c>
    </row>
    <row r="393" spans="1:5">
      <c r="A393" t="s">
        <v>266</v>
      </c>
      <c r="B393">
        <v>93.4</v>
      </c>
      <c r="C393">
        <v>90.8</v>
      </c>
      <c r="D393">
        <v>91.8</v>
      </c>
      <c r="E393" s="10">
        <f t="shared" si="37"/>
        <v>92</v>
      </c>
    </row>
    <row r="394" spans="1:5">
      <c r="A394" t="s">
        <v>267</v>
      </c>
      <c r="B394">
        <v>65.4</v>
      </c>
      <c r="C394">
        <v>44.2</v>
      </c>
      <c r="D394">
        <v>80.4</v>
      </c>
      <c r="E394" s="10">
        <f t="shared" si="37"/>
        <v>63.3333333333333</v>
      </c>
    </row>
    <row r="395" spans="1:5">
      <c r="A395" t="s">
        <v>268</v>
      </c>
      <c r="B395">
        <v>87.4</v>
      </c>
      <c r="C395">
        <v>83.8</v>
      </c>
      <c r="D395">
        <v>90.2</v>
      </c>
      <c r="E395" s="10">
        <f t="shared" si="37"/>
        <v>87.1333333333333</v>
      </c>
    </row>
    <row r="396" spans="1:5">
      <c r="A396" t="s">
        <v>269</v>
      </c>
      <c r="B396">
        <v>91</v>
      </c>
      <c r="C396">
        <v>88.4</v>
      </c>
      <c r="D396">
        <v>92.2</v>
      </c>
      <c r="E396" s="10">
        <f t="shared" si="37"/>
        <v>90.5333333333333</v>
      </c>
    </row>
    <row r="397" spans="1:5">
      <c r="A397" t="s">
        <v>270</v>
      </c>
      <c r="B397">
        <v>85</v>
      </c>
      <c r="C397">
        <v>79.8</v>
      </c>
      <c r="D397">
        <v>82</v>
      </c>
      <c r="E397" s="10">
        <f t="shared" si="37"/>
        <v>82.2666666666667</v>
      </c>
    </row>
    <row r="398" spans="1:5">
      <c r="A398" t="s">
        <v>271</v>
      </c>
      <c r="B398">
        <v>89.2</v>
      </c>
      <c r="C398">
        <v>84.8</v>
      </c>
      <c r="D398">
        <v>90.2</v>
      </c>
      <c r="E398" s="10">
        <f t="shared" si="37"/>
        <v>88.0666666666667</v>
      </c>
    </row>
    <row r="399" spans="1:5">
      <c r="A399" t="s">
        <v>272</v>
      </c>
      <c r="B399">
        <v>65.4</v>
      </c>
      <c r="C399">
        <v>44.2</v>
      </c>
      <c r="D399">
        <v>80.4</v>
      </c>
      <c r="E399" s="10">
        <f t="shared" si="37"/>
        <v>63.3333333333333</v>
      </c>
    </row>
    <row r="400" spans="1:5">
      <c r="A400" t="s">
        <v>273</v>
      </c>
      <c r="B400">
        <v>89.2</v>
      </c>
      <c r="C400">
        <v>85.6</v>
      </c>
      <c r="D400">
        <v>90.2</v>
      </c>
      <c r="E400" s="10">
        <f t="shared" si="37"/>
        <v>88.3333333333333</v>
      </c>
    </row>
    <row r="401" spans="1:5">
      <c r="A401" t="s">
        <v>274</v>
      </c>
      <c r="B401">
        <v>91</v>
      </c>
      <c r="C401">
        <v>88.4</v>
      </c>
      <c r="D401">
        <v>92.2</v>
      </c>
      <c r="E401" s="10">
        <f t="shared" si="37"/>
        <v>90.5333333333333</v>
      </c>
    </row>
    <row r="402" spans="1:5">
      <c r="A402" t="s">
        <v>275</v>
      </c>
      <c r="B402">
        <v>83.8</v>
      </c>
      <c r="C402">
        <v>79.8</v>
      </c>
      <c r="D402">
        <v>79.6</v>
      </c>
      <c r="E402" s="10">
        <f t="shared" si="37"/>
        <v>81.0666666666667</v>
      </c>
    </row>
    <row r="403" spans="1:5">
      <c r="A403" t="s">
        <v>276</v>
      </c>
      <c r="B403">
        <f>AVERAGE(B223:B402)</f>
        <v>78.24</v>
      </c>
      <c r="C403">
        <f>AVERAGE(C223:C402)</f>
        <v>72.2444444444444</v>
      </c>
      <c r="D403">
        <f>AVERAGE(D223:D402)</f>
        <v>78.5222222222223</v>
      </c>
    </row>
    <row r="404" spans="1:5">
      <c r="A404" t="s">
        <v>277</v>
      </c>
      <c r="B404" s="10">
        <f>AVERAGE(B223:D402)</f>
        <v>76.3355555555555</v>
      </c>
    </row>
    <row r="405" spans="1:5">
      <c r="A405" t="s">
        <v>278</v>
      </c>
      <c r="B405" s="10">
        <f>3*DEVSQ(E223:E402)</f>
        <v>250408.050666667</v>
      </c>
    </row>
    <row r="406" spans="1:5">
      <c r="A406" t="s">
        <v>279</v>
      </c>
      <c r="B406" s="10">
        <f>180*DEVSQ(B403:D403)</f>
        <v>4526.20977777788</v>
      </c>
    </row>
    <row r="407" spans="1:5">
      <c r="A407" t="s">
        <v>280</v>
      </c>
      <c r="B407" s="10">
        <f>DEVSQ(B223:D402)</f>
        <v>270433.197333334</v>
      </c>
    </row>
    <row r="408" spans="1:5">
      <c r="A408" t="s">
        <v>281</v>
      </c>
      <c r="B408" s="10">
        <f>B407-B405-B406</f>
        <v>15498.9368888891</v>
      </c>
    </row>
    <row r="409" spans="1:5">
      <c r="A409" t="s">
        <v>282</v>
      </c>
      <c r="B409" s="10">
        <f>B405/(180-1)</f>
        <v>1398.92765735568</v>
      </c>
    </row>
    <row r="410" spans="1:5">
      <c r="A410" t="s">
        <v>283</v>
      </c>
      <c r="B410" s="10">
        <f>B406/(3-1)</f>
        <v>2263.10488888894</v>
      </c>
    </row>
    <row r="411" spans="1:5">
      <c r="A411" t="s">
        <v>284</v>
      </c>
      <c r="B411" s="10">
        <f>B408/((180-1)*(3-1))</f>
        <v>43.2931198013661</v>
      </c>
    </row>
    <row r="412" spans="1:5">
      <c r="A412" t="s">
        <v>315</v>
      </c>
      <c r="B412" s="10">
        <f>(B409-B411)/(B409+(3-1)*B411)</f>
        <v>0.912569408021005</v>
      </c>
    </row>
    <row r="413" spans="1:5">
      <c r="A413" t="s">
        <v>316</v>
      </c>
      <c r="B413" s="10">
        <f>(B409-B411)/(B409+(3-1)*B411+3*(B410-B411)/180)</f>
        <v>0.890394060501275</v>
      </c>
    </row>
    <row r="414" spans="1:5">
      <c r="A414" t="s">
        <v>295</v>
      </c>
      <c r="B414" s="10">
        <f>B409/B411</f>
        <v>32.3129324884444</v>
      </c>
    </row>
    <row r="415" spans="1:5">
      <c r="A415" t="s">
        <v>317</v>
      </c>
      <c r="B415" s="10">
        <f>FINV(0.975,179,358)</f>
        <v>0.7711646440193</v>
      </c>
    </row>
    <row r="416" spans="1:5">
      <c r="A416" t="s">
        <v>318</v>
      </c>
      <c r="B416" s="10">
        <f>FINV(0.025,179,358)</f>
        <v>1.28265334221208</v>
      </c>
    </row>
    <row r="417" spans="1:10">
      <c r="A417" t="s">
        <v>298</v>
      </c>
      <c r="B417" s="10">
        <f>(B414-B416)/(B414+2*B416)</f>
        <v>0.889674475607429</v>
      </c>
    </row>
    <row r="418" spans="1:10">
      <c r="A418" t="s">
        <v>299</v>
      </c>
      <c r="B418" s="10">
        <f>(B414-B415)/(B414+2*B415)</f>
        <v>0.931665158954259</v>
      </c>
    </row>
    <row r="420" spans="1:10">
      <c r="A420" s="2" t="s">
        <v>5</v>
      </c>
      <c r="B420" s="2" t="s">
        <v>87</v>
      </c>
      <c r="C420" s="2" t="s">
        <v>88</v>
      </c>
      <c r="D420" s="2" t="s">
        <v>89</v>
      </c>
      <c r="E420" s="2" t="s">
        <v>90</v>
      </c>
      <c r="F420" s="2" t="s">
        <v>91</v>
      </c>
      <c r="H420" t="s">
        <v>319</v>
      </c>
      <c r="J420" s="3" t="s">
        <v>94</v>
      </c>
    </row>
    <row r="421" spans="1:10">
      <c r="A421" t="s">
        <v>20</v>
      </c>
      <c r="B421">
        <v>63.6</v>
      </c>
      <c r="C421">
        <v>52.6</v>
      </c>
      <c r="D421">
        <v>58.4</v>
      </c>
      <c r="E421">
        <v>49.2</v>
      </c>
      <c r="F421">
        <v>58.8</v>
      </c>
      <c r="G421">
        <f>AVERAGE(B421:F421)</f>
        <v>56.52</v>
      </c>
      <c r="J421">
        <v>57.2</v>
      </c>
    </row>
    <row r="422" spans="1:10">
      <c r="A422" t="s">
        <v>21</v>
      </c>
      <c r="B422">
        <v>82.6</v>
      </c>
      <c r="C422">
        <v>79</v>
      </c>
      <c r="D422">
        <v>81.1</v>
      </c>
      <c r="E422">
        <v>75.6</v>
      </c>
      <c r="F422">
        <v>75.4</v>
      </c>
      <c r="G422">
        <f t="shared" ref="G422:G456" si="38">AVERAGE(B422:F422)</f>
        <v>78.74</v>
      </c>
      <c r="J422">
        <v>42.4</v>
      </c>
    </row>
    <row r="423" spans="1:10">
      <c r="A423" t="s">
        <v>22</v>
      </c>
      <c r="B423">
        <v>89.8</v>
      </c>
      <c r="C423">
        <v>93.8</v>
      </c>
      <c r="D423">
        <v>89.1</v>
      </c>
      <c r="E423">
        <v>91.8</v>
      </c>
      <c r="F423">
        <v>86.4</v>
      </c>
      <c r="G423">
        <f t="shared" si="38"/>
        <v>90.18</v>
      </c>
      <c r="J423">
        <v>68</v>
      </c>
    </row>
    <row r="424" spans="1:10">
      <c r="A424" t="s">
        <v>23</v>
      </c>
      <c r="B424">
        <v>88.8</v>
      </c>
      <c r="C424">
        <v>93.4</v>
      </c>
      <c r="D424">
        <v>89.4</v>
      </c>
      <c r="E424">
        <v>90.8</v>
      </c>
      <c r="F424">
        <v>87.2</v>
      </c>
      <c r="G424">
        <f t="shared" si="38"/>
        <v>89.92</v>
      </c>
      <c r="J424">
        <v>65.8</v>
      </c>
    </row>
    <row r="425" spans="1:10">
      <c r="A425" t="s">
        <v>24</v>
      </c>
      <c r="B425">
        <v>86.6</v>
      </c>
      <c r="C425">
        <v>79</v>
      </c>
      <c r="D425">
        <v>83.4</v>
      </c>
      <c r="E425">
        <v>88</v>
      </c>
      <c r="F425">
        <v>86.4</v>
      </c>
      <c r="G425">
        <f t="shared" si="38"/>
        <v>84.68</v>
      </c>
      <c r="J425">
        <v>57.2</v>
      </c>
    </row>
    <row r="426" spans="1:10">
      <c r="A426" t="s">
        <v>25</v>
      </c>
      <c r="B426">
        <v>87</v>
      </c>
      <c r="C426">
        <v>87.8</v>
      </c>
      <c r="D426">
        <v>87.1</v>
      </c>
      <c r="E426">
        <v>86.2</v>
      </c>
      <c r="F426">
        <v>84.6</v>
      </c>
      <c r="G426">
        <f t="shared" si="38"/>
        <v>86.54</v>
      </c>
      <c r="J426">
        <v>59.6</v>
      </c>
    </row>
    <row r="427" spans="1:10">
      <c r="A427" t="s">
        <v>26</v>
      </c>
      <c r="B427">
        <v>89.4</v>
      </c>
      <c r="C427">
        <v>89</v>
      </c>
      <c r="D427">
        <v>86.3</v>
      </c>
      <c r="E427">
        <v>85.2</v>
      </c>
      <c r="F427">
        <v>84</v>
      </c>
      <c r="G427">
        <f t="shared" si="38"/>
        <v>86.78</v>
      </c>
      <c r="J427">
        <v>60.2</v>
      </c>
    </row>
    <row r="428" spans="1:10">
      <c r="A428" t="s">
        <v>27</v>
      </c>
      <c r="B428">
        <v>89.4</v>
      </c>
      <c r="C428">
        <v>85.2</v>
      </c>
      <c r="D428">
        <v>84.1</v>
      </c>
      <c r="E428">
        <v>90.4</v>
      </c>
      <c r="F428">
        <v>87.2</v>
      </c>
      <c r="G428">
        <f t="shared" si="38"/>
        <v>87.26</v>
      </c>
      <c r="J428">
        <v>60.2</v>
      </c>
    </row>
    <row r="429" spans="1:10">
      <c r="A429" t="s">
        <v>28</v>
      </c>
      <c r="B429">
        <v>87.8</v>
      </c>
      <c r="C429">
        <v>0</v>
      </c>
      <c r="D429">
        <v>83.1</v>
      </c>
      <c r="E429">
        <v>84.4</v>
      </c>
      <c r="F429">
        <v>84.2</v>
      </c>
      <c r="G429">
        <f t="shared" si="38"/>
        <v>67.9</v>
      </c>
      <c r="J429">
        <v>60.2</v>
      </c>
    </row>
    <row r="430" spans="1:10">
      <c r="A430" t="s">
        <v>29</v>
      </c>
      <c r="B430">
        <v>8</v>
      </c>
      <c r="C430">
        <v>81.6</v>
      </c>
      <c r="D430">
        <v>5</v>
      </c>
      <c r="E430">
        <v>0</v>
      </c>
      <c r="F430">
        <v>8.8</v>
      </c>
      <c r="G430">
        <f t="shared" si="38"/>
        <v>20.68</v>
      </c>
      <c r="J430">
        <v>0</v>
      </c>
    </row>
    <row r="431" spans="1:10">
      <c r="A431" t="s">
        <v>30</v>
      </c>
      <c r="B431">
        <v>89</v>
      </c>
      <c r="C431">
        <v>33</v>
      </c>
      <c r="D431">
        <v>86.7</v>
      </c>
      <c r="E431">
        <v>91.6</v>
      </c>
      <c r="F431">
        <v>87.2</v>
      </c>
      <c r="G431">
        <f t="shared" si="38"/>
        <v>77.5</v>
      </c>
      <c r="J431">
        <v>64.6</v>
      </c>
    </row>
    <row r="432" spans="1:10">
      <c r="A432" t="s">
        <v>31</v>
      </c>
      <c r="B432">
        <v>86.6</v>
      </c>
      <c r="C432">
        <v>79.6</v>
      </c>
      <c r="D432">
        <v>82.4</v>
      </c>
      <c r="E432">
        <v>86.2</v>
      </c>
      <c r="F432">
        <v>84</v>
      </c>
      <c r="G432">
        <f t="shared" si="38"/>
        <v>83.76</v>
      </c>
      <c r="J432">
        <v>41.6</v>
      </c>
    </row>
    <row r="433" spans="1:10">
      <c r="A433" t="s">
        <v>32</v>
      </c>
      <c r="B433">
        <v>75.4</v>
      </c>
      <c r="C433">
        <v>30</v>
      </c>
      <c r="D433">
        <v>31</v>
      </c>
      <c r="E433">
        <v>8.6</v>
      </c>
      <c r="F433">
        <v>48.6</v>
      </c>
      <c r="G433">
        <f t="shared" si="38"/>
        <v>38.72</v>
      </c>
      <c r="J433">
        <v>59.6</v>
      </c>
    </row>
    <row r="434" spans="1:10">
      <c r="A434" t="s">
        <v>33</v>
      </c>
      <c r="B434">
        <v>75.4</v>
      </c>
      <c r="C434">
        <v>79</v>
      </c>
      <c r="D434">
        <v>31</v>
      </c>
      <c r="E434">
        <v>8.6</v>
      </c>
      <c r="F434">
        <v>48.6</v>
      </c>
      <c r="G434">
        <f t="shared" si="38"/>
        <v>48.52</v>
      </c>
      <c r="J434">
        <v>59.6</v>
      </c>
    </row>
    <row r="435" spans="1:10">
      <c r="A435" t="s">
        <v>34</v>
      </c>
      <c r="B435">
        <v>85.8</v>
      </c>
      <c r="C435">
        <v>82.8</v>
      </c>
      <c r="D435">
        <v>76.3</v>
      </c>
      <c r="E435">
        <v>84.4</v>
      </c>
      <c r="F435">
        <v>83.6</v>
      </c>
      <c r="G435">
        <f t="shared" si="38"/>
        <v>82.58</v>
      </c>
      <c r="J435">
        <v>60.2</v>
      </c>
    </row>
    <row r="436" spans="1:10">
      <c r="A436" t="s">
        <v>35</v>
      </c>
      <c r="B436">
        <v>21</v>
      </c>
      <c r="C436">
        <v>79</v>
      </c>
      <c r="D436">
        <v>24.4</v>
      </c>
      <c r="E436">
        <v>8.6</v>
      </c>
      <c r="F436">
        <v>42.8</v>
      </c>
      <c r="G436">
        <f t="shared" si="38"/>
        <v>35.16</v>
      </c>
      <c r="J436">
        <v>39.6</v>
      </c>
    </row>
    <row r="437" spans="1:10">
      <c r="A437" t="s">
        <v>36</v>
      </c>
      <c r="B437">
        <v>85.6</v>
      </c>
      <c r="C437">
        <v>85.2</v>
      </c>
      <c r="D437">
        <v>75.8</v>
      </c>
      <c r="E437">
        <v>82.4</v>
      </c>
      <c r="F437">
        <v>83</v>
      </c>
      <c r="G437">
        <f t="shared" si="38"/>
        <v>82.4</v>
      </c>
      <c r="J437">
        <v>56.4</v>
      </c>
    </row>
    <row r="438" spans="1:10">
      <c r="A438" t="s">
        <v>37</v>
      </c>
      <c r="B438">
        <v>89.4</v>
      </c>
      <c r="C438">
        <v>85.2</v>
      </c>
      <c r="D438">
        <v>84.1</v>
      </c>
      <c r="E438">
        <v>90.4</v>
      </c>
      <c r="F438">
        <v>87.2</v>
      </c>
      <c r="G438">
        <f t="shared" si="38"/>
        <v>87.26</v>
      </c>
      <c r="J438">
        <v>60.2</v>
      </c>
    </row>
    <row r="439" spans="1:10">
      <c r="A439" t="s">
        <v>38</v>
      </c>
      <c r="B439">
        <v>93.6</v>
      </c>
      <c r="C439">
        <v>93</v>
      </c>
      <c r="D439">
        <v>90.2</v>
      </c>
      <c r="E439">
        <v>93.8</v>
      </c>
      <c r="F439">
        <v>93.2</v>
      </c>
      <c r="G439">
        <f t="shared" si="38"/>
        <v>92.76</v>
      </c>
      <c r="J439">
        <v>64.6</v>
      </c>
    </row>
    <row r="440" spans="1:10">
      <c r="A440" t="s">
        <v>39</v>
      </c>
      <c r="B440">
        <v>19.8</v>
      </c>
      <c r="C440">
        <v>3</v>
      </c>
      <c r="D440">
        <v>19</v>
      </c>
      <c r="E440">
        <v>33.4</v>
      </c>
      <c r="F440">
        <v>22.6</v>
      </c>
      <c r="G440">
        <f t="shared" si="38"/>
        <v>19.56</v>
      </c>
      <c r="J440">
        <v>24.4</v>
      </c>
    </row>
    <row r="441" spans="1:10">
      <c r="A441" t="s">
        <v>40</v>
      </c>
      <c r="B441">
        <v>80.2</v>
      </c>
      <c r="C441">
        <v>25.2</v>
      </c>
      <c r="D441">
        <v>48.2</v>
      </c>
      <c r="E441">
        <v>8.6</v>
      </c>
      <c r="F441">
        <v>45.4</v>
      </c>
      <c r="G441">
        <f t="shared" si="38"/>
        <v>41.52</v>
      </c>
      <c r="J441">
        <v>57.2</v>
      </c>
    </row>
    <row r="442" spans="1:10">
      <c r="A442" t="s">
        <v>41</v>
      </c>
      <c r="B442">
        <v>90</v>
      </c>
      <c r="C442">
        <v>89.6</v>
      </c>
      <c r="D442">
        <v>87.2</v>
      </c>
      <c r="E442">
        <v>91.2</v>
      </c>
      <c r="F442">
        <v>87.4</v>
      </c>
      <c r="G442">
        <f t="shared" si="38"/>
        <v>89.08</v>
      </c>
      <c r="J442">
        <v>57.2</v>
      </c>
    </row>
    <row r="443" spans="1:10">
      <c r="A443" t="s">
        <v>42</v>
      </c>
      <c r="B443">
        <v>90</v>
      </c>
      <c r="C443">
        <v>89.6</v>
      </c>
      <c r="D443">
        <v>87.6</v>
      </c>
      <c r="E443">
        <v>88.4</v>
      </c>
      <c r="F443">
        <v>87.4</v>
      </c>
      <c r="G443">
        <f t="shared" si="38"/>
        <v>88.6</v>
      </c>
      <c r="J443">
        <v>57.2</v>
      </c>
    </row>
    <row r="444" spans="1:10">
      <c r="A444" t="s">
        <v>43</v>
      </c>
      <c r="B444">
        <v>82.2</v>
      </c>
      <c r="C444">
        <v>67.8</v>
      </c>
      <c r="D444">
        <v>73</v>
      </c>
      <c r="E444">
        <v>8.6</v>
      </c>
      <c r="F444">
        <v>59</v>
      </c>
      <c r="G444">
        <f t="shared" si="38"/>
        <v>58.12</v>
      </c>
      <c r="J444">
        <v>42.4</v>
      </c>
    </row>
    <row r="445" spans="1:10">
      <c r="A445" t="s">
        <v>44</v>
      </c>
      <c r="B445">
        <v>91.6</v>
      </c>
      <c r="C445">
        <v>94.2</v>
      </c>
      <c r="D445">
        <v>89.8</v>
      </c>
      <c r="E445">
        <v>89.4</v>
      </c>
      <c r="F445">
        <v>89.6</v>
      </c>
      <c r="G445">
        <f t="shared" si="38"/>
        <v>90.92</v>
      </c>
      <c r="J445">
        <v>63.6</v>
      </c>
    </row>
    <row r="446" spans="1:10">
      <c r="A446" t="s">
        <v>46</v>
      </c>
      <c r="B446">
        <v>0</v>
      </c>
      <c r="C446">
        <v>0</v>
      </c>
      <c r="D446">
        <v>5</v>
      </c>
      <c r="E446">
        <v>0</v>
      </c>
      <c r="F446">
        <v>0</v>
      </c>
      <c r="G446">
        <f t="shared" si="38"/>
        <v>1</v>
      </c>
      <c r="J446">
        <v>0</v>
      </c>
    </row>
    <row r="447" spans="1:10">
      <c r="A447" t="s">
        <v>45</v>
      </c>
      <c r="B447">
        <v>23</v>
      </c>
      <c r="C447">
        <v>17.6</v>
      </c>
      <c r="D447">
        <v>32.6</v>
      </c>
      <c r="E447">
        <v>8.6</v>
      </c>
      <c r="F447">
        <v>36.6</v>
      </c>
      <c r="G447">
        <f t="shared" si="38"/>
        <v>23.68</v>
      </c>
      <c r="J447">
        <v>33.6</v>
      </c>
    </row>
    <row r="448" spans="1:10">
      <c r="A448" t="s">
        <v>47</v>
      </c>
      <c r="B448">
        <v>23</v>
      </c>
      <c r="C448">
        <v>17.6</v>
      </c>
      <c r="D448">
        <v>32.6</v>
      </c>
      <c r="E448">
        <v>8.6</v>
      </c>
      <c r="F448">
        <v>36.6</v>
      </c>
      <c r="G448">
        <f t="shared" si="38"/>
        <v>23.68</v>
      </c>
      <c r="J448">
        <v>32.4</v>
      </c>
    </row>
    <row r="449" spans="1:10">
      <c r="A449" t="s">
        <v>48</v>
      </c>
      <c r="B449">
        <v>82.4</v>
      </c>
      <c r="C449">
        <v>76.8</v>
      </c>
      <c r="D449">
        <v>82.2</v>
      </c>
      <c r="E449">
        <v>72.4</v>
      </c>
      <c r="F449">
        <v>82.2</v>
      </c>
      <c r="G449">
        <f t="shared" si="38"/>
        <v>79.2</v>
      </c>
      <c r="J449">
        <v>60.2</v>
      </c>
    </row>
    <row r="450" spans="1:10">
      <c r="A450" t="s">
        <v>49</v>
      </c>
      <c r="B450">
        <v>82.4</v>
      </c>
      <c r="C450">
        <v>76.8</v>
      </c>
      <c r="D450">
        <v>82.2</v>
      </c>
      <c r="E450">
        <v>72.4</v>
      </c>
      <c r="F450">
        <v>82.2</v>
      </c>
      <c r="G450">
        <f t="shared" si="38"/>
        <v>79.2</v>
      </c>
      <c r="J450">
        <v>60.2</v>
      </c>
    </row>
    <row r="451" spans="1:10">
      <c r="A451" t="s">
        <v>50</v>
      </c>
      <c r="B451">
        <v>91.6</v>
      </c>
      <c r="C451">
        <v>94.2</v>
      </c>
      <c r="D451">
        <v>89.8</v>
      </c>
      <c r="E451">
        <v>89.4</v>
      </c>
      <c r="F451">
        <v>89.6</v>
      </c>
      <c r="G451">
        <f t="shared" si="38"/>
        <v>90.92</v>
      </c>
      <c r="J451">
        <v>63</v>
      </c>
    </row>
    <row r="452" spans="1:10">
      <c r="A452" t="s">
        <v>51</v>
      </c>
      <c r="B452">
        <v>75.2</v>
      </c>
      <c r="C452">
        <v>75.6</v>
      </c>
      <c r="D452">
        <v>89.4</v>
      </c>
      <c r="E452">
        <v>48</v>
      </c>
      <c r="F452">
        <v>93.2</v>
      </c>
      <c r="G452">
        <f t="shared" si="38"/>
        <v>76.28</v>
      </c>
      <c r="J452">
        <v>65.2</v>
      </c>
    </row>
    <row r="453" spans="1:10">
      <c r="A453" t="s">
        <v>54</v>
      </c>
      <c r="B453">
        <v>0</v>
      </c>
      <c r="C453">
        <v>28.8</v>
      </c>
      <c r="D453">
        <v>5</v>
      </c>
      <c r="E453">
        <v>0</v>
      </c>
      <c r="F453">
        <v>0</v>
      </c>
      <c r="G453">
        <f t="shared" si="38"/>
        <v>6.76</v>
      </c>
      <c r="J453">
        <v>0</v>
      </c>
    </row>
    <row r="454" spans="1:10">
      <c r="A454" t="s">
        <v>52</v>
      </c>
      <c r="B454">
        <v>36</v>
      </c>
      <c r="C454">
        <v>28.8</v>
      </c>
      <c r="D454">
        <v>42.2</v>
      </c>
      <c r="E454">
        <v>10.2</v>
      </c>
      <c r="F454">
        <v>40.6</v>
      </c>
      <c r="G454">
        <f t="shared" si="38"/>
        <v>31.56</v>
      </c>
      <c r="J454">
        <v>26.6</v>
      </c>
    </row>
    <row r="455" spans="1:10">
      <c r="A455" t="s">
        <v>53</v>
      </c>
      <c r="B455">
        <v>91.6</v>
      </c>
      <c r="C455">
        <v>93</v>
      </c>
      <c r="D455">
        <v>90.2</v>
      </c>
      <c r="E455">
        <v>93.8</v>
      </c>
      <c r="F455">
        <v>93.2</v>
      </c>
      <c r="G455">
        <f t="shared" si="38"/>
        <v>92.36</v>
      </c>
      <c r="J455">
        <v>63.8</v>
      </c>
    </row>
    <row r="456" spans="1:10">
      <c r="A456" t="s">
        <v>55</v>
      </c>
      <c r="B456">
        <v>84.8</v>
      </c>
      <c r="C456">
        <v>88</v>
      </c>
      <c r="D456">
        <v>87.3</v>
      </c>
      <c r="E456">
        <v>83.4</v>
      </c>
      <c r="F456">
        <v>89</v>
      </c>
      <c r="G456">
        <f t="shared" si="38"/>
        <v>86.5</v>
      </c>
      <c r="J456">
        <v>56.4</v>
      </c>
    </row>
    <row r="457" spans="1:10">
      <c r="A457" t="s">
        <v>276</v>
      </c>
      <c r="B457">
        <f>AVERAGE(B421:B456)</f>
        <v>69.9611111111111</v>
      </c>
      <c r="C457">
        <f>AVERAGE(C421:C456)</f>
        <v>65.4111111111111</v>
      </c>
      <c r="D457">
        <f>AVERAGE(D421:D456)</f>
        <v>65.8944444444444</v>
      </c>
      <c r="E457">
        <f>AVERAGE(E421:E456)</f>
        <v>58.4055555555556</v>
      </c>
      <c r="F457">
        <f>AVERAGE(F421:F456)</f>
        <v>67.6611111111111</v>
      </c>
    </row>
    <row r="458" spans="1:10">
      <c r="A458" t="s">
        <v>277</v>
      </c>
      <c r="B458">
        <f>AVERAGE(B421:F456)</f>
        <v>65.4666666666667</v>
      </c>
    </row>
    <row r="459" spans="1:10">
      <c r="A459" t="s">
        <v>278</v>
      </c>
      <c r="B459">
        <f>5*DEVSQ(G421:G456)</f>
        <v>142232.972</v>
      </c>
    </row>
    <row r="460" spans="1:10">
      <c r="A460" t="s">
        <v>279</v>
      </c>
      <c r="B460">
        <f>36*DEVSQ(B457:F457)</f>
        <v>2702.19555555552</v>
      </c>
    </row>
    <row r="461" spans="1:10">
      <c r="A461" t="s">
        <v>280</v>
      </c>
      <c r="B461">
        <f>DEVSQ(B421:F456)</f>
        <v>175320.02</v>
      </c>
    </row>
    <row r="462" spans="1:10">
      <c r="A462" t="s">
        <v>281</v>
      </c>
      <c r="B462">
        <f>B461-B459-B460</f>
        <v>30384.8524444445</v>
      </c>
    </row>
    <row r="463" spans="1:10">
      <c r="A463" t="s">
        <v>282</v>
      </c>
      <c r="B463">
        <f>B459/(36-1)</f>
        <v>4063.7992</v>
      </c>
    </row>
    <row r="464" spans="1:10">
      <c r="A464" t="s">
        <v>283</v>
      </c>
      <c r="B464">
        <f>B460/(5-1)</f>
        <v>675.548888888881</v>
      </c>
    </row>
    <row r="465" spans="1:10">
      <c r="A465" t="s">
        <v>284</v>
      </c>
      <c r="B465">
        <f>B462/((36-1)*(5-1))</f>
        <v>217.03466031746</v>
      </c>
    </row>
    <row r="466" spans="1:10">
      <c r="A466" t="s">
        <v>320</v>
      </c>
      <c r="B466">
        <f>(B463-B465)/(B463+(5-1)*B465)</f>
        <v>0.779970199034808</v>
      </c>
    </row>
    <row r="467" spans="1:10">
      <c r="A467" t="s">
        <v>321</v>
      </c>
      <c r="B467">
        <f>(B463-B465)/(B463+(5-1)*B465+5*(B464-B465)/36)</f>
        <v>0.770027394487591</v>
      </c>
    </row>
    <row r="468" spans="1:10">
      <c r="A468" t="s">
        <v>295</v>
      </c>
      <c r="B468">
        <f>B463/B465</f>
        <v>18.7241945321351</v>
      </c>
    </row>
    <row r="469" spans="1:10">
      <c r="A469" t="s">
        <v>322</v>
      </c>
      <c r="B469">
        <f>FINV(0.975,35,140)</f>
        <v>0.563799538136261</v>
      </c>
    </row>
    <row r="470" spans="1:10">
      <c r="A470" t="s">
        <v>323</v>
      </c>
      <c r="B470">
        <f>FINV(0.025,35,140)</f>
        <v>1.62931745195914</v>
      </c>
    </row>
    <row r="471" spans="1:10">
      <c r="A471" t="s">
        <v>298</v>
      </c>
      <c r="B471">
        <f>(B468-B470)/(B468+4*B470)</f>
        <v>0.677253777749534</v>
      </c>
    </row>
    <row r="472" spans="1:10">
      <c r="A472" t="s">
        <v>299</v>
      </c>
      <c r="B472">
        <f>(B468-B469)/(B468+4*B469)</f>
        <v>0.865630157504996</v>
      </c>
    </row>
    <row r="473" spans="1:10">
      <c r="B473" s="2" t="s">
        <v>87</v>
      </c>
      <c r="C473" s="2" t="s">
        <v>88</v>
      </c>
      <c r="D473" s="2" t="s">
        <v>89</v>
      </c>
      <c r="E473" s="2" t="s">
        <v>90</v>
      </c>
      <c r="F473" s="2" t="s">
        <v>91</v>
      </c>
    </row>
    <row r="474" spans="1:10">
      <c r="A474" s="3" t="s">
        <v>306</v>
      </c>
      <c r="B474" s="8" cm="1">
        <f t="array" ref="B474">AVERAGE(ABS($J$421:$J$456-B421:B456))</f>
        <v>22.3444444444444</v>
      </c>
      <c r="C474" s="8" cm="1">
        <f t="array" ref="C474">AVERAGE(ABS($J$421:$J$456-C421:C456))</f>
        <v>27.0722222222222</v>
      </c>
      <c r="D474" s="8" cm="1">
        <f t="array" ref="D474">AVERAGE(ABS($J$421:$J$456-D421:D456))</f>
        <v>20.7555555555556</v>
      </c>
      <c r="E474" s="8" cm="1">
        <f t="array" ref="E474">AVERAGE(ABS($J$421:$J$456-E421:E456))</f>
        <v>25.3777777777778</v>
      </c>
      <c r="F474" s="8" cm="1">
        <f t="array" ref="F474">AVERAGE(ABS($J$421:$J$456-F421:F456))</f>
        <v>19.6222222222222</v>
      </c>
    </row>
    <row r="475" spans="1:10">
      <c r="A475" s="4"/>
      <c r="B475" s="8" t="s">
        <v>302</v>
      </c>
      <c r="C475" s="8">
        <f>MAX(B474:F474)</f>
        <v>27.0722222222222</v>
      </c>
      <c r="D475" s="8" t="s">
        <v>303</v>
      </c>
      <c r="E475" s="8">
        <f>MIN(B474:F474)</f>
        <v>19.6222222222222</v>
      </c>
      <c r="F475" s="8"/>
    </row>
    <row r="476" spans="1:10">
      <c r="B476" s="10"/>
      <c r="C476" s="10"/>
      <c r="D476" s="10"/>
      <c r="E476" s="10"/>
      <c r="F476" s="10"/>
    </row>
    <row r="477" spans="1:10">
      <c r="A477" s="2" t="s">
        <v>11</v>
      </c>
      <c r="B477" s="2" t="s">
        <v>87</v>
      </c>
      <c r="C477" s="2" t="s">
        <v>88</v>
      </c>
      <c r="D477" s="2" t="s">
        <v>89</v>
      </c>
      <c r="E477" s="2" t="s">
        <v>90</v>
      </c>
      <c r="F477" s="2" t="s">
        <v>91</v>
      </c>
      <c r="H477" t="s">
        <v>319</v>
      </c>
    </row>
    <row r="478" spans="1:10">
      <c r="A478" t="s">
        <v>20</v>
      </c>
      <c r="B478">
        <v>89.8</v>
      </c>
      <c r="C478">
        <v>92.8</v>
      </c>
      <c r="D478">
        <v>93</v>
      </c>
      <c r="E478">
        <v>91</v>
      </c>
      <c r="F478">
        <v>92</v>
      </c>
      <c r="G478">
        <f>AVERAGE(B478:F478)</f>
        <v>91.72</v>
      </c>
      <c r="J478" s="6">
        <v>79.6</v>
      </c>
    </row>
    <row r="479" spans="1:10">
      <c r="A479" t="s">
        <v>21</v>
      </c>
      <c r="B479">
        <v>75.6</v>
      </c>
      <c r="C479">
        <v>65.8</v>
      </c>
      <c r="D479">
        <v>75.7</v>
      </c>
      <c r="E479">
        <v>56</v>
      </c>
      <c r="F479">
        <v>73.4</v>
      </c>
      <c r="G479">
        <f t="shared" ref="G479:G513" si="39">AVERAGE(B479:F479)</f>
        <v>69.3</v>
      </c>
      <c r="J479" s="6">
        <v>59.6</v>
      </c>
    </row>
    <row r="480" spans="1:10">
      <c r="A480" t="s">
        <v>22</v>
      </c>
      <c r="B480">
        <v>44.6</v>
      </c>
      <c r="C480">
        <v>37.2</v>
      </c>
      <c r="D480">
        <v>40.4</v>
      </c>
      <c r="E480">
        <v>38</v>
      </c>
      <c r="F480">
        <v>33.4</v>
      </c>
      <c r="G480">
        <f t="shared" si="39"/>
        <v>38.72</v>
      </c>
      <c r="J480" s="6">
        <v>51.2</v>
      </c>
    </row>
    <row r="481" spans="1:10">
      <c r="A481" t="s">
        <v>23</v>
      </c>
      <c r="B481">
        <v>81.4</v>
      </c>
      <c r="C481">
        <v>81</v>
      </c>
      <c r="D481">
        <v>70.3</v>
      </c>
      <c r="E481">
        <v>65.1</v>
      </c>
      <c r="F481">
        <v>69</v>
      </c>
      <c r="G481">
        <f t="shared" si="39"/>
        <v>73.36</v>
      </c>
      <c r="J481" s="6">
        <v>78.8</v>
      </c>
    </row>
    <row r="482" spans="1:10">
      <c r="A482" t="s">
        <v>24</v>
      </c>
      <c r="B482">
        <v>87.2</v>
      </c>
      <c r="C482">
        <v>90.6</v>
      </c>
      <c r="D482">
        <v>91.4</v>
      </c>
      <c r="E482">
        <v>86.8</v>
      </c>
      <c r="F482">
        <v>86.2</v>
      </c>
      <c r="G482">
        <f t="shared" si="39"/>
        <v>88.44</v>
      </c>
      <c r="J482" s="6">
        <v>81.2</v>
      </c>
    </row>
    <row r="483" spans="1:10">
      <c r="A483" t="s">
        <v>25</v>
      </c>
      <c r="B483">
        <v>91</v>
      </c>
      <c r="C483">
        <v>89.2</v>
      </c>
      <c r="D483">
        <v>92.2</v>
      </c>
      <c r="E483">
        <v>87</v>
      </c>
      <c r="F483">
        <v>89.4</v>
      </c>
      <c r="G483">
        <f t="shared" si="39"/>
        <v>89.76</v>
      </c>
      <c r="J483" s="6">
        <v>78.4</v>
      </c>
    </row>
    <row r="484" spans="1:10">
      <c r="A484" t="s">
        <v>26</v>
      </c>
      <c r="B484">
        <v>88</v>
      </c>
      <c r="C484">
        <v>88.4</v>
      </c>
      <c r="D484">
        <v>90.4</v>
      </c>
      <c r="E484">
        <v>79.6</v>
      </c>
      <c r="F484">
        <v>88</v>
      </c>
      <c r="G484">
        <f t="shared" si="39"/>
        <v>86.88</v>
      </c>
      <c r="J484" s="6">
        <v>79.2</v>
      </c>
    </row>
    <row r="485" spans="1:10">
      <c r="A485" t="s">
        <v>27</v>
      </c>
      <c r="B485">
        <v>91</v>
      </c>
      <c r="C485">
        <v>92.8</v>
      </c>
      <c r="D485">
        <v>92.6</v>
      </c>
      <c r="E485">
        <v>91</v>
      </c>
      <c r="F485">
        <v>90.6</v>
      </c>
      <c r="G485">
        <f t="shared" si="39"/>
        <v>91.6</v>
      </c>
      <c r="J485" s="6">
        <v>79.6</v>
      </c>
    </row>
    <row r="486" spans="1:10">
      <c r="A486" t="s">
        <v>28</v>
      </c>
      <c r="B486">
        <v>92</v>
      </c>
      <c r="C486">
        <v>92.2</v>
      </c>
      <c r="D486">
        <v>92.6</v>
      </c>
      <c r="E486">
        <v>89.8</v>
      </c>
      <c r="F486">
        <v>91.9</v>
      </c>
      <c r="G486">
        <f t="shared" si="39"/>
        <v>91.7</v>
      </c>
      <c r="J486" s="6">
        <v>85.6</v>
      </c>
    </row>
    <row r="487" spans="1:10">
      <c r="A487" t="s">
        <v>29</v>
      </c>
      <c r="B487">
        <v>83.4</v>
      </c>
      <c r="C487">
        <v>76.6</v>
      </c>
      <c r="D487">
        <v>73.4</v>
      </c>
      <c r="E487">
        <v>64</v>
      </c>
      <c r="F487">
        <v>69</v>
      </c>
      <c r="G487">
        <f t="shared" si="39"/>
        <v>73.28</v>
      </c>
      <c r="J487" s="6">
        <v>77.8</v>
      </c>
    </row>
    <row r="488" spans="1:10">
      <c r="A488" t="s">
        <v>30</v>
      </c>
      <c r="B488">
        <v>90.8</v>
      </c>
      <c r="C488">
        <v>90.6</v>
      </c>
      <c r="D488">
        <v>92.8</v>
      </c>
      <c r="E488">
        <v>87.2</v>
      </c>
      <c r="F488">
        <v>92.8</v>
      </c>
      <c r="G488">
        <f t="shared" si="39"/>
        <v>90.84</v>
      </c>
      <c r="J488" s="6">
        <v>83.6</v>
      </c>
    </row>
    <row r="489" spans="1:10">
      <c r="A489" t="s">
        <v>31</v>
      </c>
      <c r="B489">
        <v>82.2</v>
      </c>
      <c r="C489">
        <v>76.6</v>
      </c>
      <c r="D489">
        <v>73.4</v>
      </c>
      <c r="E489">
        <v>65.4</v>
      </c>
      <c r="F489">
        <v>69</v>
      </c>
      <c r="G489">
        <f t="shared" si="39"/>
        <v>73.32</v>
      </c>
      <c r="J489" s="6">
        <v>77.8</v>
      </c>
    </row>
    <row r="490" spans="1:10">
      <c r="A490" t="s">
        <v>32</v>
      </c>
      <c r="B490">
        <v>82.2</v>
      </c>
      <c r="C490">
        <v>76.2</v>
      </c>
      <c r="D490">
        <v>73</v>
      </c>
      <c r="E490">
        <v>63.8</v>
      </c>
      <c r="F490">
        <v>69</v>
      </c>
      <c r="G490">
        <f t="shared" si="39"/>
        <v>72.84</v>
      </c>
      <c r="J490" s="6">
        <v>77.2</v>
      </c>
    </row>
    <row r="491" spans="1:10">
      <c r="A491" t="s">
        <v>33</v>
      </c>
      <c r="B491">
        <v>84</v>
      </c>
      <c r="C491">
        <v>77</v>
      </c>
      <c r="D491">
        <v>73.4</v>
      </c>
      <c r="E491">
        <v>67.6</v>
      </c>
      <c r="F491">
        <v>69.4</v>
      </c>
      <c r="G491">
        <f t="shared" si="39"/>
        <v>74.28</v>
      </c>
      <c r="J491" s="6">
        <v>78.8</v>
      </c>
    </row>
    <row r="492" spans="1:10">
      <c r="A492" t="s">
        <v>34</v>
      </c>
      <c r="B492">
        <v>87.2</v>
      </c>
      <c r="C492">
        <v>92.8</v>
      </c>
      <c r="D492">
        <v>93</v>
      </c>
      <c r="E492">
        <v>91</v>
      </c>
      <c r="F492">
        <v>90.6</v>
      </c>
      <c r="G492">
        <f t="shared" si="39"/>
        <v>90.92</v>
      </c>
      <c r="J492" s="6">
        <v>79.6</v>
      </c>
    </row>
    <row r="493" spans="1:10">
      <c r="A493" t="s">
        <v>35</v>
      </c>
      <c r="B493">
        <v>49.4</v>
      </c>
      <c r="C493">
        <v>47.2</v>
      </c>
      <c r="D493">
        <v>43.4</v>
      </c>
      <c r="E493">
        <v>30.6</v>
      </c>
      <c r="F493">
        <v>36.6</v>
      </c>
      <c r="G493">
        <f t="shared" si="39"/>
        <v>41.44</v>
      </c>
      <c r="J493" s="6">
        <v>62</v>
      </c>
    </row>
    <row r="494" spans="1:10">
      <c r="A494" t="s">
        <v>36</v>
      </c>
      <c r="B494">
        <v>70</v>
      </c>
      <c r="C494">
        <v>71</v>
      </c>
      <c r="D494">
        <v>68</v>
      </c>
      <c r="E494">
        <v>52.4</v>
      </c>
      <c r="F494">
        <v>64.4</v>
      </c>
      <c r="G494">
        <f t="shared" si="39"/>
        <v>65.16</v>
      </c>
      <c r="J494" s="6">
        <v>66</v>
      </c>
    </row>
    <row r="495" spans="1:10">
      <c r="A495" t="s">
        <v>37</v>
      </c>
      <c r="B495">
        <v>91.8</v>
      </c>
      <c r="C495">
        <v>92.8</v>
      </c>
      <c r="D495">
        <v>93</v>
      </c>
      <c r="E495">
        <v>91</v>
      </c>
      <c r="F495">
        <v>91.9</v>
      </c>
      <c r="G495">
        <f t="shared" si="39"/>
        <v>92.1</v>
      </c>
      <c r="J495" s="6">
        <v>85.4</v>
      </c>
    </row>
    <row r="496" spans="1:10">
      <c r="A496" t="s">
        <v>38</v>
      </c>
      <c r="B496">
        <v>93.4</v>
      </c>
      <c r="C496">
        <v>91.4</v>
      </c>
      <c r="D496">
        <v>92.2</v>
      </c>
      <c r="E496">
        <v>93.8</v>
      </c>
      <c r="F496">
        <v>93.8</v>
      </c>
      <c r="G496">
        <f t="shared" si="39"/>
        <v>92.92</v>
      </c>
      <c r="J496" s="6">
        <v>83.6</v>
      </c>
    </row>
    <row r="497" spans="1:10">
      <c r="A497" t="s">
        <v>39</v>
      </c>
      <c r="B497">
        <v>45.2</v>
      </c>
      <c r="C497">
        <v>25.4</v>
      </c>
      <c r="D497">
        <v>36</v>
      </c>
      <c r="E497">
        <v>17.4</v>
      </c>
      <c r="F497">
        <v>29.4</v>
      </c>
      <c r="G497">
        <f t="shared" si="39"/>
        <v>30.68</v>
      </c>
      <c r="J497" s="6">
        <v>43.6</v>
      </c>
    </row>
    <row r="498" spans="1:10">
      <c r="A498" t="s">
        <v>40</v>
      </c>
      <c r="B498">
        <v>80.8</v>
      </c>
      <c r="C498">
        <v>69.4</v>
      </c>
      <c r="D498">
        <v>75.8</v>
      </c>
      <c r="E498">
        <v>72.6</v>
      </c>
      <c r="F498">
        <v>75.2</v>
      </c>
      <c r="G498">
        <f t="shared" si="39"/>
        <v>74.76</v>
      </c>
      <c r="J498" s="6">
        <v>77.8</v>
      </c>
    </row>
    <row r="499" spans="1:10">
      <c r="A499" t="s">
        <v>41</v>
      </c>
      <c r="B499">
        <v>51.8</v>
      </c>
      <c r="C499">
        <v>53.4</v>
      </c>
      <c r="D499">
        <v>43.6</v>
      </c>
      <c r="E499">
        <v>41</v>
      </c>
      <c r="F499">
        <v>61.8</v>
      </c>
      <c r="G499">
        <f t="shared" si="39"/>
        <v>50.32</v>
      </c>
      <c r="J499" s="6">
        <v>80.6</v>
      </c>
    </row>
    <row r="500" spans="1:10">
      <c r="A500" t="s">
        <v>42</v>
      </c>
      <c r="B500">
        <v>78.8</v>
      </c>
      <c r="C500">
        <v>64</v>
      </c>
      <c r="D500">
        <v>78.2</v>
      </c>
      <c r="E500">
        <v>66.8</v>
      </c>
      <c r="F500">
        <v>76</v>
      </c>
      <c r="G500">
        <f t="shared" si="39"/>
        <v>72.76</v>
      </c>
      <c r="J500" s="6">
        <v>79.4</v>
      </c>
    </row>
    <row r="501" spans="1:10">
      <c r="A501" t="s">
        <v>43</v>
      </c>
      <c r="B501">
        <v>23.8</v>
      </c>
      <c r="C501">
        <v>7.2</v>
      </c>
      <c r="D501">
        <v>35.2</v>
      </c>
      <c r="E501">
        <v>6.8</v>
      </c>
      <c r="F501">
        <v>23.4</v>
      </c>
      <c r="G501">
        <f t="shared" si="39"/>
        <v>19.28</v>
      </c>
      <c r="J501" s="6">
        <v>9</v>
      </c>
    </row>
    <row r="502" spans="1:10">
      <c r="A502" t="s">
        <v>44</v>
      </c>
      <c r="B502">
        <v>92.4</v>
      </c>
      <c r="C502">
        <v>92.4</v>
      </c>
      <c r="D502">
        <v>92.2</v>
      </c>
      <c r="E502">
        <v>93.6</v>
      </c>
      <c r="F502">
        <v>93.8</v>
      </c>
      <c r="G502">
        <f t="shared" si="39"/>
        <v>92.88</v>
      </c>
      <c r="J502" s="6">
        <v>91.6</v>
      </c>
    </row>
    <row r="503" spans="1:10">
      <c r="A503" t="s">
        <v>46</v>
      </c>
      <c r="B503">
        <v>15.4</v>
      </c>
      <c r="C503">
        <v>9.2</v>
      </c>
      <c r="D503">
        <v>21.8</v>
      </c>
      <c r="E503">
        <v>4.2</v>
      </c>
      <c r="F503">
        <v>16</v>
      </c>
      <c r="G503">
        <f t="shared" si="39"/>
        <v>13.32</v>
      </c>
      <c r="J503" s="6">
        <v>9</v>
      </c>
    </row>
    <row r="504" spans="1:10">
      <c r="A504" t="s">
        <v>45</v>
      </c>
      <c r="B504">
        <v>73.4</v>
      </c>
      <c r="C504">
        <v>54</v>
      </c>
      <c r="D504">
        <v>74</v>
      </c>
      <c r="E504">
        <v>46.4</v>
      </c>
      <c r="F504">
        <v>69.6</v>
      </c>
      <c r="G504">
        <f t="shared" si="39"/>
        <v>63.48</v>
      </c>
      <c r="J504" s="6">
        <v>55.2</v>
      </c>
    </row>
    <row r="505" spans="1:10">
      <c r="A505" t="s">
        <v>47</v>
      </c>
      <c r="B505">
        <v>46.4</v>
      </c>
      <c r="C505">
        <v>20.6</v>
      </c>
      <c r="D505">
        <v>38.2</v>
      </c>
      <c r="E505">
        <v>13.6</v>
      </c>
      <c r="F505">
        <v>29.8</v>
      </c>
      <c r="G505">
        <f t="shared" si="39"/>
        <v>29.72</v>
      </c>
      <c r="J505" s="6">
        <v>32</v>
      </c>
    </row>
    <row r="506" spans="1:10">
      <c r="A506" t="s">
        <v>48</v>
      </c>
      <c r="B506">
        <v>80.8</v>
      </c>
      <c r="C506">
        <v>69.4</v>
      </c>
      <c r="D506">
        <v>75.8</v>
      </c>
      <c r="E506">
        <v>72.6</v>
      </c>
      <c r="F506">
        <v>75.2</v>
      </c>
      <c r="G506">
        <f t="shared" si="39"/>
        <v>74.76</v>
      </c>
      <c r="J506" s="6">
        <v>79.2</v>
      </c>
    </row>
    <row r="507" spans="1:10">
      <c r="A507" t="s">
        <v>49</v>
      </c>
      <c r="B507">
        <v>80</v>
      </c>
      <c r="C507">
        <v>86.2</v>
      </c>
      <c r="D507">
        <v>86.2</v>
      </c>
      <c r="E507">
        <v>92</v>
      </c>
      <c r="F507">
        <v>84.5</v>
      </c>
      <c r="G507">
        <f t="shared" si="39"/>
        <v>85.78</v>
      </c>
      <c r="J507" s="6">
        <v>80.4</v>
      </c>
    </row>
    <row r="508" spans="1:10">
      <c r="A508" t="s">
        <v>50</v>
      </c>
      <c r="B508">
        <v>93.8</v>
      </c>
      <c r="C508">
        <v>91</v>
      </c>
      <c r="D508">
        <v>91.8</v>
      </c>
      <c r="E508">
        <v>93.6</v>
      </c>
      <c r="F508">
        <v>92.9</v>
      </c>
      <c r="G508">
        <f t="shared" si="39"/>
        <v>92.62</v>
      </c>
      <c r="J508" s="6">
        <v>85.4</v>
      </c>
    </row>
    <row r="509" spans="1:10">
      <c r="A509" t="s">
        <v>51</v>
      </c>
      <c r="B509">
        <v>82.6</v>
      </c>
      <c r="C509">
        <v>83</v>
      </c>
      <c r="D509">
        <v>88.1</v>
      </c>
      <c r="E509">
        <v>81.6</v>
      </c>
      <c r="F509">
        <v>82</v>
      </c>
      <c r="G509">
        <f t="shared" si="39"/>
        <v>83.46</v>
      </c>
      <c r="J509" s="6">
        <v>72.4</v>
      </c>
    </row>
    <row r="510" spans="1:10">
      <c r="A510" t="s">
        <v>54</v>
      </c>
      <c r="B510">
        <v>76</v>
      </c>
      <c r="C510">
        <v>58.6</v>
      </c>
      <c r="D510">
        <v>73.4</v>
      </c>
      <c r="E510">
        <v>59.8</v>
      </c>
      <c r="F510">
        <v>72</v>
      </c>
      <c r="G510">
        <f t="shared" si="39"/>
        <v>67.96</v>
      </c>
      <c r="J510" s="6">
        <v>62</v>
      </c>
    </row>
    <row r="511" spans="1:10">
      <c r="A511" t="s">
        <v>52</v>
      </c>
      <c r="B511">
        <v>74.4</v>
      </c>
      <c r="C511">
        <v>80.6</v>
      </c>
      <c r="D511">
        <v>81.7</v>
      </c>
      <c r="E511">
        <v>73.2</v>
      </c>
      <c r="F511">
        <v>80.1</v>
      </c>
      <c r="G511">
        <f t="shared" si="39"/>
        <v>78</v>
      </c>
      <c r="J511" s="6">
        <v>66.8</v>
      </c>
    </row>
    <row r="512" spans="1:10">
      <c r="A512" t="s">
        <v>53</v>
      </c>
      <c r="B512">
        <v>93.4</v>
      </c>
      <c r="C512">
        <v>91.2</v>
      </c>
      <c r="D512">
        <v>90.8</v>
      </c>
      <c r="E512">
        <v>93.8</v>
      </c>
      <c r="F512">
        <v>92.9</v>
      </c>
      <c r="G512">
        <f t="shared" si="39"/>
        <v>92.42</v>
      </c>
      <c r="J512" s="6">
        <v>79.2</v>
      </c>
    </row>
    <row r="513" spans="1:10">
      <c r="A513" t="s">
        <v>55</v>
      </c>
      <c r="B513">
        <v>81</v>
      </c>
      <c r="C513">
        <v>71.4</v>
      </c>
      <c r="D513">
        <v>84.2</v>
      </c>
      <c r="E513">
        <v>74.6</v>
      </c>
      <c r="F513">
        <v>73.4</v>
      </c>
      <c r="G513">
        <f t="shared" si="39"/>
        <v>76.92</v>
      </c>
      <c r="J513" s="6">
        <v>77.8</v>
      </c>
    </row>
    <row r="514" spans="1:10">
      <c r="A514" t="s">
        <v>276</v>
      </c>
      <c r="B514">
        <f>AVERAGE(B478:B513)</f>
        <v>75.6944444444445</v>
      </c>
      <c r="C514">
        <f>AVERAGE(C478:C513)</f>
        <v>70.8111111111111</v>
      </c>
      <c r="D514">
        <f>AVERAGE(D478:D513)</f>
        <v>74.4777777777778</v>
      </c>
      <c r="E514">
        <f>AVERAGE(E478:E513)</f>
        <v>66.5194444444444</v>
      </c>
      <c r="F514">
        <f>AVERAGE(F478:F513)</f>
        <v>71.9</v>
      </c>
    </row>
    <row r="515" spans="1:10">
      <c r="A515" t="s">
        <v>277</v>
      </c>
      <c r="B515">
        <f>AVERAGE(B478:F513)</f>
        <v>71.8805555555555</v>
      </c>
    </row>
    <row r="516" spans="1:10">
      <c r="A516" t="s">
        <v>278</v>
      </c>
      <c r="B516">
        <f>5*DEVSQ(G478:G513)</f>
        <v>87904.8059444445</v>
      </c>
    </row>
    <row r="517" spans="1:10">
      <c r="A517" t="s">
        <v>279</v>
      </c>
      <c r="B517">
        <f>36*DEVSQ(B514:F514)</f>
        <v>1842.36888888893</v>
      </c>
    </row>
    <row r="518" spans="1:10">
      <c r="A518" t="s">
        <v>280</v>
      </c>
      <c r="B518">
        <f>DEVSQ(B478:F513)</f>
        <v>93589.6619444445</v>
      </c>
    </row>
    <row r="519" spans="1:10">
      <c r="A519" t="s">
        <v>281</v>
      </c>
      <c r="B519">
        <f>B518-B516-B517</f>
        <v>3842.48711111107</v>
      </c>
    </row>
    <row r="520" spans="1:10">
      <c r="A520" t="s">
        <v>282</v>
      </c>
      <c r="B520">
        <f>B516/(36-1)</f>
        <v>2511.56588412698</v>
      </c>
    </row>
    <row r="521" spans="1:10">
      <c r="A521" t="s">
        <v>283</v>
      </c>
      <c r="B521">
        <f>B517/(5-1)</f>
        <v>460.592222222231</v>
      </c>
    </row>
    <row r="522" spans="1:10">
      <c r="A522" t="s">
        <v>284</v>
      </c>
      <c r="B522">
        <f>B519/((36-1)*(5-1))</f>
        <v>27.4463365079362</v>
      </c>
    </row>
    <row r="523" spans="1:10">
      <c r="A523" t="s">
        <v>324</v>
      </c>
      <c r="B523">
        <f>(B520-B522)/(B520+(5-1)*B522)</f>
        <v>0.947648494806485</v>
      </c>
    </row>
    <row r="524" spans="1:10">
      <c r="A524" t="s">
        <v>325</v>
      </c>
      <c r="B524">
        <f>(B520-B522)/(B520+(5-1)*B522+5*(B521-B522)/36)</f>
        <v>0.926388189754751</v>
      </c>
    </row>
    <row r="525" spans="1:10">
      <c r="A525" t="s">
        <v>295</v>
      </c>
      <c r="B525">
        <f>B520/B522</f>
        <v>91.5082376622743</v>
      </c>
    </row>
    <row r="526" spans="1:10">
      <c r="A526" t="s">
        <v>322</v>
      </c>
      <c r="B526">
        <f>FINV(0.975,35,140)</f>
        <v>0.563799538136261</v>
      </c>
    </row>
    <row r="527" spans="1:10">
      <c r="A527" t="s">
        <v>323</v>
      </c>
      <c r="B527">
        <f>FINV(0.025,35,140)</f>
        <v>1.62931745195914</v>
      </c>
    </row>
    <row r="528" spans="1:10">
      <c r="A528" t="s">
        <v>298</v>
      </c>
      <c r="B528">
        <f>(B525-B527)/(B525+4*B527)</f>
        <v>0.916893189639649</v>
      </c>
    </row>
    <row r="529" spans="1:10">
      <c r="A529" t="s">
        <v>299</v>
      </c>
      <c r="B529">
        <f>(B525-B526)/(B525+4*B526)</f>
        <v>0.969935000075629</v>
      </c>
    </row>
    <row r="530" spans="1:10">
      <c r="B530" s="2" t="s">
        <v>87</v>
      </c>
      <c r="C530" s="2" t="s">
        <v>88</v>
      </c>
      <c r="D530" s="2" t="s">
        <v>89</v>
      </c>
      <c r="E530" s="2" t="s">
        <v>90</v>
      </c>
      <c r="F530" s="2" t="s">
        <v>91</v>
      </c>
    </row>
    <row r="531" spans="1:10">
      <c r="A531" s="3" t="s">
        <v>306</v>
      </c>
      <c r="B531" s="8" cm="1">
        <f t="array" ref="B531">AVERAGE(ABS($J$478:$J$513-B478:B513))</f>
        <v>8.23888888888889</v>
      </c>
      <c r="C531" s="8" cm="1">
        <f t="array" ref="C531">AVERAGE(ABS($J$478:$J$513-C478:C513))</f>
        <v>8.25555555555555</v>
      </c>
      <c r="D531" s="8" cm="1">
        <f t="array" ref="D531">AVERAGE(ABS($J$478:$J$513-D478:D513))</f>
        <v>10.2722222222222</v>
      </c>
      <c r="E531" s="8" cm="1">
        <f t="array" ref="E531">AVERAGE(ABS($J$478:$J$513-E478:E513))</f>
        <v>10.5694444444444</v>
      </c>
      <c r="F531" s="8" cm="1">
        <f t="array" ref="F531">AVERAGE(ABS($J$478:$J$513-F478:F513))</f>
        <v>9.46666666666666</v>
      </c>
    </row>
    <row r="532" spans="1:10">
      <c r="A532" s="4"/>
      <c r="B532" s="8" t="s">
        <v>302</v>
      </c>
      <c r="C532" s="8">
        <f>MAX(B531:F531)</f>
        <v>10.5694444444444</v>
      </c>
      <c r="D532" s="8" t="s">
        <v>303</v>
      </c>
      <c r="E532" s="8">
        <f>MIN(B531:F531)</f>
        <v>8.23888888888889</v>
      </c>
      <c r="F532" s="8"/>
    </row>
    <row r="535" spans="1:10">
      <c r="A535" s="2" t="s">
        <v>12</v>
      </c>
      <c r="B535" s="2" t="s">
        <v>87</v>
      </c>
      <c r="C535" s="2" t="s">
        <v>88</v>
      </c>
      <c r="D535" s="2" t="s">
        <v>89</v>
      </c>
      <c r="E535" s="2" t="s">
        <v>90</v>
      </c>
      <c r="F535" s="2" t="s">
        <v>91</v>
      </c>
    </row>
    <row r="536" spans="1:10">
      <c r="A536" t="s">
        <v>20</v>
      </c>
      <c r="B536">
        <v>88.8</v>
      </c>
      <c r="C536">
        <v>85.2</v>
      </c>
      <c r="D536">
        <v>86.2</v>
      </c>
      <c r="E536">
        <v>87.2</v>
      </c>
      <c r="F536">
        <v>94.4</v>
      </c>
      <c r="G536">
        <f t="shared" ref="G536:G571" si="40">AVERAGE(B536:F536)</f>
        <v>88.36</v>
      </c>
      <c r="J536">
        <v>91.6</v>
      </c>
    </row>
    <row r="537" spans="1:10">
      <c r="A537" t="s">
        <v>21</v>
      </c>
      <c r="B537">
        <v>91.6</v>
      </c>
      <c r="C537">
        <v>81.4</v>
      </c>
      <c r="D537">
        <v>88</v>
      </c>
      <c r="E537">
        <v>82.4</v>
      </c>
      <c r="F537">
        <v>53.8</v>
      </c>
      <c r="G537">
        <f t="shared" si="40"/>
        <v>79.44</v>
      </c>
      <c r="J537">
        <v>87.6</v>
      </c>
    </row>
    <row r="538" spans="1:10">
      <c r="A538" t="s">
        <v>22</v>
      </c>
      <c r="B538">
        <v>88</v>
      </c>
      <c r="C538">
        <v>72.6</v>
      </c>
      <c r="D538">
        <v>85.6</v>
      </c>
      <c r="E538">
        <v>79.6</v>
      </c>
      <c r="F538">
        <v>87.8</v>
      </c>
      <c r="G538">
        <f t="shared" si="40"/>
        <v>82.72</v>
      </c>
      <c r="J538">
        <v>76.2</v>
      </c>
    </row>
    <row r="539" spans="1:10">
      <c r="A539" t="s">
        <v>23</v>
      </c>
      <c r="B539">
        <v>54</v>
      </c>
      <c r="C539">
        <v>34.2</v>
      </c>
      <c r="D539">
        <v>44.6</v>
      </c>
      <c r="E539">
        <v>33.2</v>
      </c>
      <c r="F539">
        <v>91.2</v>
      </c>
      <c r="G539">
        <f t="shared" si="40"/>
        <v>51.44</v>
      </c>
      <c r="J539">
        <v>28</v>
      </c>
    </row>
    <row r="540" spans="1:10">
      <c r="A540" t="s">
        <v>24</v>
      </c>
      <c r="B540">
        <v>93</v>
      </c>
      <c r="C540">
        <v>90.2</v>
      </c>
      <c r="D540">
        <v>90.4</v>
      </c>
      <c r="E540">
        <v>91.4</v>
      </c>
      <c r="F540">
        <v>91.2</v>
      </c>
      <c r="G540">
        <f t="shared" si="40"/>
        <v>91.24</v>
      </c>
      <c r="J540">
        <v>93.2</v>
      </c>
    </row>
    <row r="541" spans="1:10">
      <c r="A541" t="s">
        <v>25</v>
      </c>
      <c r="B541">
        <v>92.4</v>
      </c>
      <c r="C541">
        <v>87</v>
      </c>
      <c r="D541">
        <v>90.6</v>
      </c>
      <c r="E541">
        <v>89.6</v>
      </c>
      <c r="F541">
        <v>93</v>
      </c>
      <c r="G541">
        <f t="shared" si="40"/>
        <v>90.52</v>
      </c>
      <c r="J541">
        <v>91.2</v>
      </c>
    </row>
    <row r="542" spans="1:10">
      <c r="A542" t="s">
        <v>26</v>
      </c>
      <c r="B542">
        <v>93.6</v>
      </c>
      <c r="C542">
        <v>85.2</v>
      </c>
      <c r="D542">
        <v>91.4</v>
      </c>
      <c r="E542">
        <v>87</v>
      </c>
      <c r="F542">
        <v>93</v>
      </c>
      <c r="G542">
        <f t="shared" si="40"/>
        <v>90.04</v>
      </c>
      <c r="J542">
        <v>94</v>
      </c>
    </row>
    <row r="543" spans="1:10">
      <c r="A543" t="s">
        <v>27</v>
      </c>
      <c r="B543">
        <v>93</v>
      </c>
      <c r="C543">
        <v>90.2</v>
      </c>
      <c r="D543">
        <v>90.4</v>
      </c>
      <c r="E543">
        <v>89.6</v>
      </c>
      <c r="F543">
        <v>91.2</v>
      </c>
      <c r="G543">
        <f t="shared" si="40"/>
        <v>90.88</v>
      </c>
      <c r="J543">
        <v>93.2</v>
      </c>
    </row>
    <row r="544" spans="1:10">
      <c r="A544" t="s">
        <v>28</v>
      </c>
      <c r="B544">
        <v>93.6</v>
      </c>
      <c r="C544">
        <v>89.4</v>
      </c>
      <c r="D544">
        <v>89.6</v>
      </c>
      <c r="E544">
        <v>87.8</v>
      </c>
      <c r="F544">
        <v>93.4</v>
      </c>
      <c r="G544">
        <f t="shared" si="40"/>
        <v>90.76</v>
      </c>
      <c r="J544">
        <v>88.6</v>
      </c>
    </row>
    <row r="545" spans="1:10">
      <c r="A545" t="s">
        <v>29</v>
      </c>
      <c r="B545">
        <v>65.6</v>
      </c>
      <c r="C545">
        <v>44.6</v>
      </c>
      <c r="D545">
        <v>58</v>
      </c>
      <c r="E545">
        <v>28.8</v>
      </c>
      <c r="F545">
        <v>54.2</v>
      </c>
      <c r="G545">
        <f t="shared" si="40"/>
        <v>50.24</v>
      </c>
      <c r="J545">
        <v>45.2</v>
      </c>
    </row>
    <row r="546" spans="1:10">
      <c r="A546" t="s">
        <v>30</v>
      </c>
      <c r="B546">
        <v>93</v>
      </c>
      <c r="C546">
        <v>89.8</v>
      </c>
      <c r="D546">
        <v>91.4</v>
      </c>
      <c r="E546">
        <v>90.2</v>
      </c>
      <c r="F546">
        <v>91.2</v>
      </c>
      <c r="G546">
        <f t="shared" si="40"/>
        <v>91.12</v>
      </c>
      <c r="J546">
        <v>92.6</v>
      </c>
    </row>
    <row r="547" spans="1:10">
      <c r="A547" t="s">
        <v>31</v>
      </c>
      <c r="B547">
        <v>94</v>
      </c>
      <c r="C547">
        <v>92.6</v>
      </c>
      <c r="D547">
        <v>91</v>
      </c>
      <c r="E547">
        <v>89.6</v>
      </c>
      <c r="F547">
        <v>93.4</v>
      </c>
      <c r="G547">
        <f t="shared" si="40"/>
        <v>92.12</v>
      </c>
      <c r="J547">
        <v>93.2</v>
      </c>
    </row>
    <row r="548" spans="1:10">
      <c r="A548" t="s">
        <v>32</v>
      </c>
      <c r="B548">
        <v>93</v>
      </c>
      <c r="C548">
        <v>89.4</v>
      </c>
      <c r="D548">
        <v>91.6</v>
      </c>
      <c r="E548">
        <v>91.4</v>
      </c>
      <c r="F548">
        <v>91.8</v>
      </c>
      <c r="G548">
        <f t="shared" si="40"/>
        <v>91.44</v>
      </c>
      <c r="J548">
        <v>92.6</v>
      </c>
    </row>
    <row r="549" spans="1:10">
      <c r="A549" t="s">
        <v>33</v>
      </c>
      <c r="B549">
        <v>93</v>
      </c>
      <c r="C549">
        <v>87.4</v>
      </c>
      <c r="D549">
        <v>89.4</v>
      </c>
      <c r="E549">
        <v>86.6</v>
      </c>
      <c r="F549">
        <v>87.6</v>
      </c>
      <c r="G549">
        <f t="shared" si="40"/>
        <v>88.8</v>
      </c>
      <c r="J549">
        <v>80.4</v>
      </c>
    </row>
    <row r="550" spans="1:10">
      <c r="A550" t="s">
        <v>34</v>
      </c>
      <c r="B550">
        <v>89.2</v>
      </c>
      <c r="C550">
        <v>83.4</v>
      </c>
      <c r="D550">
        <v>89.6</v>
      </c>
      <c r="E550">
        <v>89.6</v>
      </c>
      <c r="F550">
        <v>88.6</v>
      </c>
      <c r="G550">
        <f t="shared" si="40"/>
        <v>88.08</v>
      </c>
      <c r="J550">
        <v>76.2</v>
      </c>
    </row>
    <row r="551" spans="1:10">
      <c r="A551" t="s">
        <v>35</v>
      </c>
      <c r="B551">
        <v>90.4</v>
      </c>
      <c r="C551">
        <v>80.6</v>
      </c>
      <c r="D551">
        <v>87.2</v>
      </c>
      <c r="E551">
        <v>77.6</v>
      </c>
      <c r="F551">
        <v>89</v>
      </c>
      <c r="G551">
        <f t="shared" si="40"/>
        <v>84.96</v>
      </c>
      <c r="J551">
        <v>81.6</v>
      </c>
    </row>
    <row r="552" spans="1:10">
      <c r="A552" t="s">
        <v>36</v>
      </c>
      <c r="B552">
        <v>86.8</v>
      </c>
      <c r="C552">
        <v>77.8</v>
      </c>
      <c r="D552">
        <v>87.2</v>
      </c>
      <c r="E552">
        <v>73.6</v>
      </c>
      <c r="F552">
        <v>89</v>
      </c>
      <c r="G552">
        <f t="shared" si="40"/>
        <v>82.88</v>
      </c>
      <c r="J552">
        <v>76.6</v>
      </c>
    </row>
    <row r="553" spans="1:10">
      <c r="A553" t="s">
        <v>37</v>
      </c>
      <c r="B553">
        <v>93.6</v>
      </c>
      <c r="C553">
        <v>91.2</v>
      </c>
      <c r="D553">
        <v>92.2</v>
      </c>
      <c r="E553">
        <v>91.8</v>
      </c>
      <c r="F553">
        <v>93.4</v>
      </c>
      <c r="G553">
        <f t="shared" si="40"/>
        <v>92.44</v>
      </c>
      <c r="J553">
        <v>92.6</v>
      </c>
    </row>
    <row r="554" spans="1:10">
      <c r="A554" t="s">
        <v>38</v>
      </c>
      <c r="B554">
        <v>94</v>
      </c>
      <c r="C554">
        <v>94</v>
      </c>
      <c r="D554">
        <v>94</v>
      </c>
      <c r="E554">
        <v>94.6</v>
      </c>
      <c r="F554">
        <v>94.4</v>
      </c>
      <c r="G554">
        <f t="shared" si="40"/>
        <v>94.2</v>
      </c>
      <c r="J554">
        <v>95</v>
      </c>
    </row>
    <row r="555" spans="1:10">
      <c r="A555" t="s">
        <v>39</v>
      </c>
      <c r="B555">
        <v>93</v>
      </c>
      <c r="C555">
        <v>93</v>
      </c>
      <c r="D555">
        <v>91.8</v>
      </c>
      <c r="E555">
        <v>89.5</v>
      </c>
      <c r="F555">
        <v>90</v>
      </c>
      <c r="G555">
        <f t="shared" si="40"/>
        <v>91.46</v>
      </c>
      <c r="J555">
        <v>92.6</v>
      </c>
    </row>
    <row r="556" spans="1:10">
      <c r="A556" t="s">
        <v>40</v>
      </c>
      <c r="B556">
        <v>92</v>
      </c>
      <c r="C556">
        <v>90.8</v>
      </c>
      <c r="D556">
        <v>90</v>
      </c>
      <c r="E556">
        <v>87.8</v>
      </c>
      <c r="F556">
        <v>89.4</v>
      </c>
      <c r="G556">
        <f t="shared" si="40"/>
        <v>90</v>
      </c>
      <c r="J556">
        <v>93.2</v>
      </c>
    </row>
    <row r="557" spans="1:10">
      <c r="A557" t="s">
        <v>41</v>
      </c>
      <c r="B557">
        <v>37.4</v>
      </c>
      <c r="C557">
        <v>22.6</v>
      </c>
      <c r="D557">
        <v>36.2</v>
      </c>
      <c r="E557">
        <v>36</v>
      </c>
      <c r="F557">
        <v>33.6</v>
      </c>
      <c r="G557">
        <f t="shared" si="40"/>
        <v>33.16</v>
      </c>
      <c r="J557">
        <v>47.2</v>
      </c>
    </row>
    <row r="558" spans="1:10">
      <c r="A558" t="s">
        <v>42</v>
      </c>
      <c r="B558">
        <v>95</v>
      </c>
      <c r="C558">
        <v>97</v>
      </c>
      <c r="D558">
        <v>94.2</v>
      </c>
      <c r="E558">
        <v>97.4</v>
      </c>
      <c r="F558">
        <v>95</v>
      </c>
      <c r="G558">
        <f t="shared" si="40"/>
        <v>95.72</v>
      </c>
      <c r="J558">
        <v>91.6</v>
      </c>
    </row>
    <row r="559" spans="1:10">
      <c r="A559" t="s">
        <v>43</v>
      </c>
      <c r="B559">
        <v>64.6</v>
      </c>
      <c r="C559">
        <v>33.8</v>
      </c>
      <c r="D559">
        <v>51.2</v>
      </c>
      <c r="E559">
        <v>71.2</v>
      </c>
      <c r="F559">
        <v>48.6</v>
      </c>
      <c r="G559">
        <f t="shared" si="40"/>
        <v>53.88</v>
      </c>
      <c r="J559">
        <v>67.2</v>
      </c>
    </row>
    <row r="560" spans="1:10">
      <c r="A560" t="s">
        <v>44</v>
      </c>
      <c r="B560">
        <v>93</v>
      </c>
      <c r="C560">
        <v>90.8</v>
      </c>
      <c r="D560">
        <v>89.6</v>
      </c>
      <c r="E560">
        <v>87.8</v>
      </c>
      <c r="F560">
        <v>87.8</v>
      </c>
      <c r="G560">
        <f t="shared" si="40"/>
        <v>89.8</v>
      </c>
      <c r="J560">
        <v>92.6</v>
      </c>
    </row>
    <row r="561" spans="1:10">
      <c r="A561" t="s">
        <v>46</v>
      </c>
      <c r="B561">
        <v>53.6</v>
      </c>
      <c r="C561">
        <v>35.8</v>
      </c>
      <c r="D561">
        <v>37.8</v>
      </c>
      <c r="E561">
        <v>37</v>
      </c>
      <c r="F561">
        <v>36</v>
      </c>
      <c r="G561">
        <f t="shared" si="40"/>
        <v>40.04</v>
      </c>
      <c r="J561">
        <v>81.6</v>
      </c>
    </row>
    <row r="562" spans="1:10">
      <c r="A562" t="s">
        <v>45</v>
      </c>
      <c r="B562">
        <v>87.6</v>
      </c>
      <c r="C562">
        <v>81.6</v>
      </c>
      <c r="D562">
        <v>78.6</v>
      </c>
      <c r="E562">
        <v>74.6</v>
      </c>
      <c r="F562">
        <v>87.8</v>
      </c>
      <c r="G562">
        <f t="shared" si="40"/>
        <v>82.04</v>
      </c>
      <c r="J562">
        <v>90</v>
      </c>
    </row>
    <row r="563" spans="1:10">
      <c r="A563" t="s">
        <v>47</v>
      </c>
      <c r="B563">
        <v>94</v>
      </c>
      <c r="C563">
        <v>93.4</v>
      </c>
      <c r="D563">
        <v>91.2</v>
      </c>
      <c r="E563">
        <v>91.2</v>
      </c>
      <c r="F563">
        <v>89.8</v>
      </c>
      <c r="G563">
        <f t="shared" si="40"/>
        <v>91.92</v>
      </c>
      <c r="J563">
        <v>93.2</v>
      </c>
    </row>
    <row r="564" spans="1:10">
      <c r="A564" t="s">
        <v>48</v>
      </c>
      <c r="B564">
        <v>93</v>
      </c>
      <c r="C564">
        <v>93.4</v>
      </c>
      <c r="D564">
        <v>91.4</v>
      </c>
      <c r="E564">
        <v>89.4</v>
      </c>
      <c r="F564">
        <v>89.8</v>
      </c>
      <c r="G564">
        <f t="shared" si="40"/>
        <v>91.4</v>
      </c>
      <c r="J564">
        <v>93.2</v>
      </c>
    </row>
    <row r="565" spans="1:10">
      <c r="A565" t="s">
        <v>49</v>
      </c>
      <c r="B565">
        <v>93</v>
      </c>
      <c r="C565">
        <v>87.4</v>
      </c>
      <c r="D565">
        <v>90</v>
      </c>
      <c r="E565">
        <v>85.4</v>
      </c>
      <c r="F565">
        <v>87.8</v>
      </c>
      <c r="G565">
        <f t="shared" si="40"/>
        <v>88.72</v>
      </c>
      <c r="J565">
        <v>94</v>
      </c>
    </row>
    <row r="566" spans="1:10">
      <c r="A566" t="s">
        <v>50</v>
      </c>
      <c r="B566">
        <v>93</v>
      </c>
      <c r="C566">
        <v>93</v>
      </c>
      <c r="D566">
        <v>91.2</v>
      </c>
      <c r="E566">
        <v>91.2</v>
      </c>
      <c r="F566">
        <v>89.8</v>
      </c>
      <c r="G566">
        <f t="shared" si="40"/>
        <v>91.64</v>
      </c>
      <c r="J566">
        <v>92.6</v>
      </c>
    </row>
    <row r="567" spans="1:10">
      <c r="A567" t="s">
        <v>51</v>
      </c>
      <c r="B567">
        <v>93</v>
      </c>
      <c r="C567">
        <v>90.8</v>
      </c>
      <c r="D567">
        <v>90.2</v>
      </c>
      <c r="E567">
        <v>85.4</v>
      </c>
      <c r="F567">
        <v>89.8</v>
      </c>
      <c r="G567">
        <f t="shared" si="40"/>
        <v>89.84</v>
      </c>
      <c r="J567">
        <v>92.6</v>
      </c>
    </row>
    <row r="568" spans="1:10">
      <c r="A568" t="s">
        <v>54</v>
      </c>
      <c r="B568">
        <v>93</v>
      </c>
      <c r="C568">
        <v>91.2</v>
      </c>
      <c r="D568">
        <v>91</v>
      </c>
      <c r="E568">
        <v>89.4</v>
      </c>
      <c r="F568">
        <v>89.8</v>
      </c>
      <c r="G568">
        <f t="shared" si="40"/>
        <v>90.88</v>
      </c>
      <c r="J568">
        <v>92.6</v>
      </c>
    </row>
    <row r="569" spans="1:10">
      <c r="A569" t="s">
        <v>52</v>
      </c>
      <c r="B569">
        <v>91</v>
      </c>
      <c r="C569">
        <v>84.2</v>
      </c>
      <c r="D569">
        <v>89.2</v>
      </c>
      <c r="E569">
        <v>83</v>
      </c>
      <c r="F569">
        <v>82</v>
      </c>
      <c r="G569">
        <f t="shared" si="40"/>
        <v>85.88</v>
      </c>
      <c r="J569">
        <v>87.6</v>
      </c>
    </row>
    <row r="570" spans="1:10">
      <c r="A570" t="s">
        <v>53</v>
      </c>
      <c r="B570">
        <v>94</v>
      </c>
      <c r="C570">
        <v>90.8</v>
      </c>
      <c r="D570">
        <v>91.4</v>
      </c>
      <c r="E570">
        <v>91.8</v>
      </c>
      <c r="F570">
        <v>90</v>
      </c>
      <c r="G570">
        <f t="shared" si="40"/>
        <v>91.6</v>
      </c>
      <c r="J570">
        <v>93.2</v>
      </c>
    </row>
    <row r="571" spans="1:10">
      <c r="A571" t="s">
        <v>55</v>
      </c>
      <c r="B571">
        <v>92</v>
      </c>
      <c r="C571">
        <v>85.2</v>
      </c>
      <c r="D571">
        <v>89.2</v>
      </c>
      <c r="E571">
        <v>83.8</v>
      </c>
      <c r="F571">
        <v>87.8</v>
      </c>
      <c r="G571">
        <f t="shared" si="40"/>
        <v>87.6</v>
      </c>
      <c r="J571">
        <v>90</v>
      </c>
    </row>
    <row r="572" spans="1:10">
      <c r="A572" t="s">
        <v>276</v>
      </c>
      <c r="B572">
        <f>AVERAGE(B536:B571)</f>
        <v>87.0222222222222</v>
      </c>
      <c r="C572">
        <f>AVERAGE(C536:C571)</f>
        <v>80.5833333333333</v>
      </c>
      <c r="D572">
        <f>AVERAGE(D536:D571)</f>
        <v>83.6833333333333</v>
      </c>
      <c r="E572">
        <f>AVERAGE(E536:E571)</f>
        <v>80.9305555555556</v>
      </c>
      <c r="F572">
        <f>AVERAGE(F536:F571)</f>
        <v>84.0666666666667</v>
      </c>
    </row>
    <row r="573" spans="1:10">
      <c r="A573" t="s">
        <v>277</v>
      </c>
      <c r="B573">
        <f>AVERAGE(B536:F571)</f>
        <v>83.2572222222222</v>
      </c>
    </row>
    <row r="574" spans="1:10">
      <c r="A574" t="s">
        <v>278</v>
      </c>
      <c r="B574">
        <f>5*DEVSQ(G536:G571)</f>
        <v>44398.7646111111</v>
      </c>
    </row>
    <row r="575" spans="1:10">
      <c r="A575" t="s">
        <v>279</v>
      </c>
      <c r="B575">
        <f>36*DEVSQ(B572:F572)</f>
        <v>992.701999999993</v>
      </c>
    </row>
    <row r="576" spans="1:10">
      <c r="A576" t="s">
        <v>280</v>
      </c>
      <c r="B576">
        <f>DEVSQ(B536:F571)</f>
        <v>50725.5806111111</v>
      </c>
    </row>
    <row r="577" spans="1:6">
      <c r="A577" t="s">
        <v>281</v>
      </c>
      <c r="B577">
        <f>B576-B574-B575</f>
        <v>5334.11399999999</v>
      </c>
    </row>
    <row r="578" spans="1:6">
      <c r="A578" t="s">
        <v>282</v>
      </c>
      <c r="B578">
        <f>B574/(36-1)</f>
        <v>1268.53613174603</v>
      </c>
    </row>
    <row r="579" spans="1:6">
      <c r="A579" t="s">
        <v>283</v>
      </c>
      <c r="B579">
        <f>B575/(5-1)</f>
        <v>248.175499999998</v>
      </c>
    </row>
    <row r="580" spans="1:6">
      <c r="A580" t="s">
        <v>284</v>
      </c>
      <c r="B580">
        <f>B577/((36-1)*(5-1))</f>
        <v>38.1008142857142</v>
      </c>
    </row>
    <row r="581" spans="1:6">
      <c r="A581" t="s">
        <v>326</v>
      </c>
      <c r="B581">
        <f>(B578-B580)/(B578+(5-1)*B580)</f>
        <v>0.865930895491934</v>
      </c>
    </row>
    <row r="582" spans="1:6">
      <c r="A582" t="s">
        <v>327</v>
      </c>
      <c r="B582">
        <f>(B578-B580)/(B578+(5-1)*B580+5*(B579-B580)/36)</f>
        <v>0.848507949580622</v>
      </c>
    </row>
    <row r="583" spans="1:6">
      <c r="A583" t="s">
        <v>295</v>
      </c>
      <c r="B583">
        <f>B578/B580</f>
        <v>33.2942000198055</v>
      </c>
    </row>
    <row r="584" spans="1:6">
      <c r="A584" t="s">
        <v>322</v>
      </c>
      <c r="B584">
        <f>FINV(0.975,35,140)</f>
        <v>0.563799538136261</v>
      </c>
    </row>
    <row r="585" spans="1:6">
      <c r="A585" t="s">
        <v>323</v>
      </c>
      <c r="B585">
        <f>FINV(0.025,35,140)</f>
        <v>1.62931745195914</v>
      </c>
    </row>
    <row r="586" spans="1:6">
      <c r="A586" t="s">
        <v>298</v>
      </c>
      <c r="B586">
        <f>(B583-B585)/(B583+4*B585)</f>
        <v>0.795370849278734</v>
      </c>
    </row>
    <row r="587" spans="1:6">
      <c r="A587" t="s">
        <v>299</v>
      </c>
      <c r="B587">
        <f>(B583-B584)/(B583+4*B584)</f>
        <v>0.920701957399835</v>
      </c>
    </row>
    <row r="588" spans="1:6">
      <c r="B588" s="2" t="s">
        <v>87</v>
      </c>
      <c r="C588" s="2" t="s">
        <v>88</v>
      </c>
      <c r="D588" s="2" t="s">
        <v>89</v>
      </c>
      <c r="E588" s="2" t="s">
        <v>90</v>
      </c>
      <c r="F588" s="2" t="s">
        <v>91</v>
      </c>
    </row>
    <row r="589" spans="1:6">
      <c r="A589" s="3" t="s">
        <v>306</v>
      </c>
      <c r="B589" s="8" cm="1">
        <f t="array" ref="B589">AVERAGE(ABS($J$536:$J$571-B536:B571))</f>
        <v>4.93888888888889</v>
      </c>
      <c r="C589" s="8" cm="1">
        <f t="array" ref="C589">AVERAGE(ABS($J$536:$J$571-C536:C571))</f>
        <v>5.87777777777778</v>
      </c>
      <c r="D589" s="8" cm="1">
        <f t="array" ref="D589">AVERAGE(ABS($J$536:$J$571-D536:D571))</f>
        <v>5.77777777777778</v>
      </c>
      <c r="E589" s="8" cm="1">
        <f t="array" ref="E589">AVERAGE(ABS($J$536:$J$571-E536:E571))</f>
        <v>6.03055555555555</v>
      </c>
      <c r="F589" s="8" cm="1">
        <f t="array" ref="F589">AVERAGE(ABS($J$536:$J$571-F536:F571))</f>
        <v>8.39444444444444</v>
      </c>
    </row>
    <row r="590" spans="1:6">
      <c r="A590" s="4"/>
      <c r="B590" s="8" t="s">
        <v>302</v>
      </c>
      <c r="C590" s="8">
        <f>MAX(B589:F589)</f>
        <v>8.39444444444444</v>
      </c>
      <c r="D590" s="8" t="s">
        <v>303</v>
      </c>
      <c r="E590" s="8">
        <f>MIN(B589:F589)</f>
        <v>4.93888888888889</v>
      </c>
      <c r="F590" s="8"/>
    </row>
    <row r="593" spans="1:10">
      <c r="A593" s="2" t="s">
        <v>13</v>
      </c>
      <c r="B593" s="2" t="s">
        <v>87</v>
      </c>
      <c r="C593" s="2" t="s">
        <v>88</v>
      </c>
      <c r="D593" s="2" t="s">
        <v>89</v>
      </c>
      <c r="E593" s="2" t="s">
        <v>90</v>
      </c>
      <c r="F593" s="2" t="s">
        <v>91</v>
      </c>
    </row>
    <row r="594" spans="1:10">
      <c r="A594" t="s">
        <v>20</v>
      </c>
      <c r="B594">
        <v>91.6</v>
      </c>
      <c r="C594">
        <v>86.8</v>
      </c>
      <c r="D594">
        <v>92</v>
      </c>
      <c r="E594">
        <v>88.2</v>
      </c>
      <c r="F594">
        <v>92.6</v>
      </c>
      <c r="G594">
        <f t="shared" ref="G594:G629" si="41">AVERAGE(B594:F594)</f>
        <v>90.24</v>
      </c>
      <c r="J594" s="6">
        <v>79.4</v>
      </c>
    </row>
    <row r="595" spans="1:10">
      <c r="A595" t="s">
        <v>21</v>
      </c>
      <c r="B595">
        <v>85.2</v>
      </c>
      <c r="C595">
        <v>86.2</v>
      </c>
      <c r="D595">
        <v>88.6</v>
      </c>
      <c r="E595">
        <v>81.8</v>
      </c>
      <c r="F595">
        <v>88.6</v>
      </c>
      <c r="G595">
        <f t="shared" si="41"/>
        <v>86.08</v>
      </c>
      <c r="J595" s="6">
        <v>63.6</v>
      </c>
    </row>
    <row r="596" spans="1:10">
      <c r="A596" t="s">
        <v>22</v>
      </c>
      <c r="B596">
        <v>46</v>
      </c>
      <c r="C596">
        <v>41</v>
      </c>
      <c r="D596">
        <v>51.4</v>
      </c>
      <c r="E596">
        <v>50.2</v>
      </c>
      <c r="F596">
        <v>50.6</v>
      </c>
      <c r="G596">
        <f t="shared" si="41"/>
        <v>47.84</v>
      </c>
      <c r="J596" s="6">
        <v>45.2</v>
      </c>
    </row>
    <row r="597" spans="1:10">
      <c r="A597" t="s">
        <v>23</v>
      </c>
      <c r="B597">
        <v>91.6</v>
      </c>
      <c r="C597">
        <v>89.8</v>
      </c>
      <c r="D597">
        <v>93</v>
      </c>
      <c r="E597">
        <v>90.6</v>
      </c>
      <c r="F597">
        <v>93.4</v>
      </c>
      <c r="G597">
        <f t="shared" si="41"/>
        <v>91.68</v>
      </c>
      <c r="J597" s="6">
        <v>82.2</v>
      </c>
    </row>
    <row r="598" spans="1:10">
      <c r="A598" t="s">
        <v>24</v>
      </c>
      <c r="B598">
        <v>84.8</v>
      </c>
      <c r="C598">
        <v>86.2</v>
      </c>
      <c r="D598">
        <v>88.6</v>
      </c>
      <c r="E598">
        <v>80.2</v>
      </c>
      <c r="F598">
        <v>88.6</v>
      </c>
      <c r="G598">
        <f t="shared" si="41"/>
        <v>85.68</v>
      </c>
      <c r="J598" s="6">
        <v>72.2</v>
      </c>
    </row>
    <row r="599" spans="1:10">
      <c r="A599" t="s">
        <v>25</v>
      </c>
      <c r="B599">
        <v>88.8</v>
      </c>
      <c r="C599">
        <v>89</v>
      </c>
      <c r="D599">
        <v>92.4</v>
      </c>
      <c r="E599">
        <v>87.4</v>
      </c>
      <c r="F599">
        <v>93.2</v>
      </c>
      <c r="G599">
        <f t="shared" si="41"/>
        <v>90.16</v>
      </c>
      <c r="J599" s="6">
        <v>74.2</v>
      </c>
    </row>
    <row r="600" spans="1:10">
      <c r="A600" t="s">
        <v>26</v>
      </c>
      <c r="B600">
        <v>88.8</v>
      </c>
      <c r="C600">
        <v>89</v>
      </c>
      <c r="D600">
        <v>92.4</v>
      </c>
      <c r="E600">
        <v>87.4</v>
      </c>
      <c r="F600">
        <v>93.2</v>
      </c>
      <c r="G600">
        <f t="shared" si="41"/>
        <v>90.16</v>
      </c>
      <c r="J600" s="6">
        <v>74.2</v>
      </c>
    </row>
    <row r="601" spans="1:10">
      <c r="A601" t="s">
        <v>27</v>
      </c>
      <c r="B601">
        <v>91.6</v>
      </c>
      <c r="C601">
        <v>89.8</v>
      </c>
      <c r="D601">
        <v>93</v>
      </c>
      <c r="E601">
        <v>90.2</v>
      </c>
      <c r="F601">
        <v>93.4</v>
      </c>
      <c r="G601">
        <f t="shared" si="41"/>
        <v>91.6</v>
      </c>
      <c r="J601" s="6">
        <v>83.4</v>
      </c>
    </row>
    <row r="602" spans="1:10">
      <c r="A602" t="s">
        <v>28</v>
      </c>
      <c r="B602">
        <v>93.4</v>
      </c>
      <c r="C602">
        <v>90.4</v>
      </c>
      <c r="D602">
        <v>94.4</v>
      </c>
      <c r="E602">
        <v>92.8</v>
      </c>
      <c r="F602">
        <v>95.8</v>
      </c>
      <c r="G602">
        <f t="shared" si="41"/>
        <v>93.36</v>
      </c>
      <c r="J602" s="6">
        <v>78.2</v>
      </c>
    </row>
    <row r="603" spans="1:10">
      <c r="A603" t="s">
        <v>29</v>
      </c>
      <c r="B603">
        <v>21</v>
      </c>
      <c r="C603">
        <v>24.4</v>
      </c>
      <c r="D603">
        <v>32.6</v>
      </c>
      <c r="E603">
        <v>21.8</v>
      </c>
      <c r="F603">
        <v>28.4</v>
      </c>
      <c r="G603">
        <f t="shared" si="41"/>
        <v>25.64</v>
      </c>
      <c r="J603" s="6">
        <v>18.8</v>
      </c>
    </row>
    <row r="604" spans="1:10">
      <c r="A604" t="s">
        <v>30</v>
      </c>
      <c r="B604">
        <v>84.8</v>
      </c>
      <c r="C604">
        <v>86.2</v>
      </c>
      <c r="D604">
        <v>88.6</v>
      </c>
      <c r="E604">
        <v>80.6</v>
      </c>
      <c r="F604">
        <v>88.6</v>
      </c>
      <c r="G604">
        <f t="shared" si="41"/>
        <v>85.76</v>
      </c>
      <c r="J604" s="6">
        <v>72.2</v>
      </c>
    </row>
    <row r="605" spans="1:10">
      <c r="A605" t="s">
        <v>31</v>
      </c>
      <c r="B605">
        <v>92</v>
      </c>
      <c r="C605">
        <v>92</v>
      </c>
      <c r="D605">
        <v>90</v>
      </c>
      <c r="E605">
        <v>93.2</v>
      </c>
      <c r="F605">
        <v>94</v>
      </c>
      <c r="G605">
        <f t="shared" si="41"/>
        <v>92.24</v>
      </c>
      <c r="J605" s="6">
        <v>88</v>
      </c>
    </row>
    <row r="606" spans="1:10">
      <c r="A606" t="s">
        <v>32</v>
      </c>
      <c r="B606">
        <v>88.8</v>
      </c>
      <c r="C606">
        <v>88.6</v>
      </c>
      <c r="D606">
        <v>91.4</v>
      </c>
      <c r="E606">
        <v>84.8</v>
      </c>
      <c r="F606">
        <v>92</v>
      </c>
      <c r="G606">
        <f t="shared" si="41"/>
        <v>89.12</v>
      </c>
      <c r="J606" s="6">
        <v>85.8</v>
      </c>
    </row>
    <row r="607" spans="1:10">
      <c r="A607" t="s">
        <v>33</v>
      </c>
      <c r="B607">
        <v>89</v>
      </c>
      <c r="C607">
        <v>84.8</v>
      </c>
      <c r="D607">
        <v>88.6</v>
      </c>
      <c r="E607">
        <v>83.8</v>
      </c>
      <c r="F607">
        <v>90</v>
      </c>
      <c r="G607">
        <f t="shared" si="41"/>
        <v>87.24</v>
      </c>
      <c r="J607" s="6">
        <v>67.4</v>
      </c>
    </row>
    <row r="608" spans="1:10">
      <c r="A608" t="s">
        <v>34</v>
      </c>
      <c r="B608">
        <v>79</v>
      </c>
      <c r="C608">
        <v>76.2</v>
      </c>
      <c r="D608">
        <v>81.4</v>
      </c>
      <c r="E608">
        <v>77.8</v>
      </c>
      <c r="F608">
        <v>88.2</v>
      </c>
      <c r="G608">
        <f t="shared" si="41"/>
        <v>80.52</v>
      </c>
      <c r="J608" s="6">
        <v>69.2</v>
      </c>
    </row>
    <row r="609" spans="1:10">
      <c r="A609" t="s">
        <v>35</v>
      </c>
      <c r="B609">
        <v>79.6</v>
      </c>
      <c r="C609">
        <v>78.4</v>
      </c>
      <c r="D609">
        <v>81.5</v>
      </c>
      <c r="E609">
        <v>84.4</v>
      </c>
      <c r="F609">
        <v>90.6</v>
      </c>
      <c r="G609">
        <f t="shared" si="41"/>
        <v>82.9</v>
      </c>
      <c r="J609" s="6">
        <v>67.4</v>
      </c>
    </row>
    <row r="610" spans="1:10">
      <c r="A610" t="s">
        <v>36</v>
      </c>
      <c r="B610">
        <v>52.6</v>
      </c>
      <c r="C610">
        <v>46.6</v>
      </c>
      <c r="D610">
        <v>61.4</v>
      </c>
      <c r="E610">
        <v>56</v>
      </c>
      <c r="F610">
        <v>52.8</v>
      </c>
      <c r="G610">
        <f t="shared" si="41"/>
        <v>53.88</v>
      </c>
      <c r="J610" s="6">
        <v>45.2</v>
      </c>
    </row>
    <row r="611" spans="1:10">
      <c r="A611" t="s">
        <v>37</v>
      </c>
      <c r="B611">
        <v>85.2</v>
      </c>
      <c r="C611">
        <v>86.2</v>
      </c>
      <c r="D611">
        <v>88.6</v>
      </c>
      <c r="E611">
        <v>79.8</v>
      </c>
      <c r="F611">
        <v>88.2</v>
      </c>
      <c r="G611">
        <f t="shared" si="41"/>
        <v>85.6</v>
      </c>
      <c r="J611" s="6">
        <v>69.2</v>
      </c>
    </row>
    <row r="612" spans="1:10">
      <c r="A612" t="s">
        <v>38</v>
      </c>
      <c r="B612">
        <v>86.8</v>
      </c>
      <c r="C612">
        <v>87.6</v>
      </c>
      <c r="D612">
        <v>89.2</v>
      </c>
      <c r="E612">
        <v>85.8</v>
      </c>
      <c r="F612">
        <v>90.8</v>
      </c>
      <c r="G612">
        <f t="shared" si="41"/>
        <v>88.04</v>
      </c>
      <c r="J612" s="6">
        <v>74.2</v>
      </c>
    </row>
    <row r="613" spans="1:10">
      <c r="A613" t="s">
        <v>39</v>
      </c>
      <c r="B613">
        <v>81</v>
      </c>
      <c r="C613">
        <v>85.8</v>
      </c>
      <c r="D613">
        <v>73.2</v>
      </c>
      <c r="E613">
        <v>73.2</v>
      </c>
      <c r="F613">
        <v>86.6</v>
      </c>
      <c r="G613">
        <f t="shared" si="41"/>
        <v>79.96</v>
      </c>
      <c r="J613" s="6">
        <v>81.2</v>
      </c>
    </row>
    <row r="614" spans="1:10">
      <c r="A614" t="s">
        <v>40</v>
      </c>
      <c r="B614">
        <v>88.4</v>
      </c>
      <c r="C614">
        <v>88.2</v>
      </c>
      <c r="D614">
        <v>89.4</v>
      </c>
      <c r="E614">
        <v>87</v>
      </c>
      <c r="F614">
        <v>93</v>
      </c>
      <c r="G614">
        <f t="shared" si="41"/>
        <v>89.2</v>
      </c>
      <c r="J614" s="6">
        <v>80.6</v>
      </c>
    </row>
    <row r="615" spans="1:10">
      <c r="A615" t="s">
        <v>41</v>
      </c>
      <c r="B615">
        <v>45.6</v>
      </c>
      <c r="C615">
        <v>39.8</v>
      </c>
      <c r="D615">
        <v>43.6</v>
      </c>
      <c r="E615">
        <v>26.6</v>
      </c>
      <c r="F615">
        <v>40.2</v>
      </c>
      <c r="G615">
        <f t="shared" si="41"/>
        <v>39.16</v>
      </c>
      <c r="J615" s="6">
        <v>40.4</v>
      </c>
    </row>
    <row r="616" spans="1:10">
      <c r="A616" t="s">
        <v>42</v>
      </c>
      <c r="B616">
        <v>81.2</v>
      </c>
      <c r="C616">
        <v>82.8</v>
      </c>
      <c r="D616">
        <v>74.7</v>
      </c>
      <c r="E616">
        <v>78</v>
      </c>
      <c r="F616">
        <v>90.4</v>
      </c>
      <c r="G616">
        <f t="shared" si="41"/>
        <v>81.42</v>
      </c>
      <c r="J616" s="6">
        <v>75.4</v>
      </c>
    </row>
    <row r="617" spans="1:10">
      <c r="A617" t="s">
        <v>43</v>
      </c>
      <c r="B617">
        <v>86.8</v>
      </c>
      <c r="C617">
        <v>88.6</v>
      </c>
      <c r="D617">
        <v>89</v>
      </c>
      <c r="E617">
        <v>80.6</v>
      </c>
      <c r="F617">
        <v>90.2</v>
      </c>
      <c r="G617">
        <f t="shared" si="41"/>
        <v>87.04</v>
      </c>
      <c r="J617" s="6">
        <v>76.2</v>
      </c>
    </row>
    <row r="618" spans="1:10">
      <c r="A618" t="s">
        <v>44</v>
      </c>
      <c r="B618">
        <v>87.6</v>
      </c>
      <c r="C618">
        <v>85.4</v>
      </c>
      <c r="D618">
        <v>88.2</v>
      </c>
      <c r="E618">
        <v>84.6</v>
      </c>
      <c r="F618">
        <v>90.4</v>
      </c>
      <c r="G618">
        <f t="shared" si="41"/>
        <v>87.24</v>
      </c>
      <c r="J618" s="6">
        <v>76.4</v>
      </c>
    </row>
    <row r="619" spans="1:10">
      <c r="A619" t="s">
        <v>46</v>
      </c>
      <c r="B619">
        <v>84.2</v>
      </c>
      <c r="C619">
        <v>81.4</v>
      </c>
      <c r="D619">
        <v>89</v>
      </c>
      <c r="E619">
        <v>75.6</v>
      </c>
      <c r="F619">
        <v>89.4</v>
      </c>
      <c r="G619">
        <f t="shared" si="41"/>
        <v>83.92</v>
      </c>
      <c r="J619" s="6">
        <v>69.2</v>
      </c>
    </row>
    <row r="620" spans="1:10">
      <c r="A620" t="s">
        <v>45</v>
      </c>
      <c r="B620">
        <v>84.2</v>
      </c>
      <c r="C620">
        <v>81.4</v>
      </c>
      <c r="D620">
        <v>88.6</v>
      </c>
      <c r="E620">
        <v>75.6</v>
      </c>
      <c r="F620">
        <v>89.4</v>
      </c>
      <c r="G620">
        <f t="shared" si="41"/>
        <v>83.84</v>
      </c>
      <c r="J620" s="6">
        <v>57.6</v>
      </c>
    </row>
    <row r="621" spans="1:10">
      <c r="A621" t="s">
        <v>47</v>
      </c>
      <c r="B621">
        <v>86.4</v>
      </c>
      <c r="C621">
        <v>84.2</v>
      </c>
      <c r="D621">
        <v>87.8</v>
      </c>
      <c r="E621">
        <v>74</v>
      </c>
      <c r="F621">
        <v>88.4</v>
      </c>
      <c r="G621">
        <f t="shared" si="41"/>
        <v>84.16</v>
      </c>
      <c r="J621" s="6">
        <v>72.4</v>
      </c>
    </row>
    <row r="622" spans="1:10">
      <c r="A622" t="s">
        <v>48</v>
      </c>
      <c r="B622">
        <v>81.4</v>
      </c>
      <c r="C622">
        <v>72.6</v>
      </c>
      <c r="D622">
        <v>64.2</v>
      </c>
      <c r="E622">
        <v>67</v>
      </c>
      <c r="F622">
        <v>82.2</v>
      </c>
      <c r="G622">
        <f t="shared" si="41"/>
        <v>73.48</v>
      </c>
      <c r="J622" s="6">
        <v>69.2</v>
      </c>
    </row>
    <row r="623" spans="1:10">
      <c r="A623" t="s">
        <v>49</v>
      </c>
      <c r="B623">
        <v>66.4</v>
      </c>
      <c r="C623">
        <v>53</v>
      </c>
      <c r="D623">
        <v>68.6</v>
      </c>
      <c r="E623">
        <v>67.2</v>
      </c>
      <c r="F623">
        <v>73.6</v>
      </c>
      <c r="G623">
        <f t="shared" si="41"/>
        <v>65.76</v>
      </c>
      <c r="J623" s="6">
        <v>49.6</v>
      </c>
    </row>
    <row r="624" spans="1:10">
      <c r="A624" t="s">
        <v>50</v>
      </c>
      <c r="B624">
        <v>89.2</v>
      </c>
      <c r="C624">
        <v>90.6</v>
      </c>
      <c r="D624">
        <v>90.4</v>
      </c>
      <c r="E624">
        <v>86.6</v>
      </c>
      <c r="F624">
        <v>90.8</v>
      </c>
      <c r="G624">
        <f t="shared" si="41"/>
        <v>89.52</v>
      </c>
      <c r="J624" s="6">
        <v>81.2</v>
      </c>
    </row>
    <row r="625" spans="1:10">
      <c r="A625" t="s">
        <v>51</v>
      </c>
      <c r="B625">
        <v>90.6</v>
      </c>
      <c r="C625">
        <v>91.4</v>
      </c>
      <c r="D625">
        <v>91.4</v>
      </c>
      <c r="E625">
        <v>90.4</v>
      </c>
      <c r="F625">
        <v>90.6</v>
      </c>
      <c r="G625">
        <f t="shared" si="41"/>
        <v>90.88</v>
      </c>
      <c r="J625" s="6">
        <v>81.2</v>
      </c>
    </row>
    <row r="626" spans="1:10">
      <c r="A626" t="s">
        <v>54</v>
      </c>
      <c r="B626">
        <v>86.4</v>
      </c>
      <c r="C626">
        <v>84.2</v>
      </c>
      <c r="D626">
        <v>87.8</v>
      </c>
      <c r="E626">
        <v>74</v>
      </c>
      <c r="F626">
        <v>88.4</v>
      </c>
      <c r="G626">
        <f t="shared" si="41"/>
        <v>84.16</v>
      </c>
      <c r="J626" s="6">
        <v>62.4</v>
      </c>
    </row>
    <row r="627" spans="1:10">
      <c r="A627" t="s">
        <v>52</v>
      </c>
      <c r="B627">
        <v>66.4</v>
      </c>
      <c r="C627">
        <v>53</v>
      </c>
      <c r="D627">
        <v>68.6</v>
      </c>
      <c r="E627">
        <v>67.2</v>
      </c>
      <c r="F627">
        <v>73.6</v>
      </c>
      <c r="G627">
        <f t="shared" si="41"/>
        <v>65.76</v>
      </c>
      <c r="J627" s="6">
        <v>49.6</v>
      </c>
    </row>
    <row r="628" spans="1:10">
      <c r="A628" t="s">
        <v>53</v>
      </c>
      <c r="B628">
        <v>90.6</v>
      </c>
      <c r="C628">
        <v>91.4</v>
      </c>
      <c r="D628">
        <v>91.4</v>
      </c>
      <c r="E628">
        <v>90.4</v>
      </c>
      <c r="F628">
        <v>90.6</v>
      </c>
      <c r="G628">
        <f t="shared" si="41"/>
        <v>90.88</v>
      </c>
      <c r="J628" s="6">
        <v>81.2</v>
      </c>
    </row>
    <row r="629" spans="1:10">
      <c r="A629" t="s">
        <v>55</v>
      </c>
      <c r="B629">
        <v>79</v>
      </c>
      <c r="C629">
        <v>81.4</v>
      </c>
      <c r="D629">
        <v>76.2</v>
      </c>
      <c r="E629">
        <v>73</v>
      </c>
      <c r="F629">
        <v>85.2</v>
      </c>
      <c r="G629">
        <f t="shared" si="41"/>
        <v>78.96</v>
      </c>
      <c r="J629" s="6">
        <v>69.2</v>
      </c>
    </row>
    <row r="630" spans="1:10">
      <c r="A630" t="s">
        <v>276</v>
      </c>
      <c r="B630">
        <f>AVERAGE(B594:B629)</f>
        <v>80.4444444444444</v>
      </c>
      <c r="C630">
        <f>AVERAGE(C594:C629)</f>
        <v>78.7333333333333</v>
      </c>
      <c r="D630">
        <f>AVERAGE(D594:D629)</f>
        <v>81.7</v>
      </c>
      <c r="E630">
        <f>AVERAGE(E594:E629)</f>
        <v>76.8833333333333</v>
      </c>
      <c r="F630">
        <f>AVERAGE(F594:F629)</f>
        <v>84.0555555555555</v>
      </c>
    </row>
    <row r="631" spans="1:10">
      <c r="A631" t="s">
        <v>277</v>
      </c>
      <c r="B631">
        <f>AVERAGE(B594:F629)</f>
        <v>80.3633333333334</v>
      </c>
    </row>
    <row r="632" spans="1:10">
      <c r="A632" t="s">
        <v>278</v>
      </c>
      <c r="B632">
        <f>5*DEVSQ(G594:G629)</f>
        <v>43089.242</v>
      </c>
    </row>
    <row r="633" spans="1:10">
      <c r="A633" t="s">
        <v>279</v>
      </c>
      <c r="B633">
        <f>36*DEVSQ(B630:F630)</f>
        <v>1086.95022222222</v>
      </c>
    </row>
    <row r="634" spans="1:10">
      <c r="A634" t="s">
        <v>280</v>
      </c>
      <c r="B634">
        <f>DEVSQ(B594:F629)</f>
        <v>45940.898</v>
      </c>
    </row>
    <row r="635" spans="1:10">
      <c r="A635" t="s">
        <v>281</v>
      </c>
      <c r="B635">
        <f>B634-B632-B633</f>
        <v>1764.70577777778</v>
      </c>
    </row>
    <row r="636" spans="1:10">
      <c r="A636" t="s">
        <v>282</v>
      </c>
      <c r="B636">
        <f>B632/(36-1)</f>
        <v>1231.1212</v>
      </c>
    </row>
    <row r="637" spans="1:10">
      <c r="A637" t="s">
        <v>283</v>
      </c>
      <c r="B637">
        <f>B633/(5-1)</f>
        <v>271.737555555555</v>
      </c>
    </row>
    <row r="638" spans="1:10">
      <c r="A638" t="s">
        <v>284</v>
      </c>
      <c r="B638">
        <f>B635/((36-1)*(5-1))</f>
        <v>12.6050412698413</v>
      </c>
    </row>
    <row r="639" spans="1:10">
      <c r="A639" t="s">
        <v>328</v>
      </c>
      <c r="B639">
        <f>(B636-B638)/(B636+(5-1)*B638)</f>
        <v>0.950820778738341</v>
      </c>
    </row>
    <row r="640" spans="1:10">
      <c r="A640" t="s">
        <v>329</v>
      </c>
      <c r="B640">
        <f>(B636-B638)/(B636+(5-1)*B638+5*(B637-B638)/36)</f>
        <v>0.924847492182519</v>
      </c>
    </row>
    <row r="641" spans="1:10">
      <c r="A641" t="s">
        <v>295</v>
      </c>
      <c r="B641">
        <f>B636/B638</f>
        <v>97.6689543211229</v>
      </c>
    </row>
    <row r="642" spans="1:10">
      <c r="A642" t="s">
        <v>322</v>
      </c>
      <c r="B642">
        <f>FINV(0.975,35,140)</f>
        <v>0.563799538136261</v>
      </c>
    </row>
    <row r="643" spans="1:10">
      <c r="A643" t="s">
        <v>323</v>
      </c>
      <c r="B643">
        <f>FINV(0.025,35,140)</f>
        <v>1.62931745195914</v>
      </c>
    </row>
    <row r="644" spans="1:10">
      <c r="A644" t="s">
        <v>298</v>
      </c>
      <c r="B644">
        <f>(B641-B643)/(B641+4*B643)</f>
        <v>0.921807443086602</v>
      </c>
    </row>
    <row r="645" spans="1:10">
      <c r="A645" t="s">
        <v>299</v>
      </c>
      <c r="B645">
        <f>(B641-B642)/(B641+4*B642)</f>
        <v>0.971788625463457</v>
      </c>
    </row>
    <row r="646" spans="1:10">
      <c r="B646" s="2" t="s">
        <v>87</v>
      </c>
      <c r="C646" s="2" t="s">
        <v>88</v>
      </c>
      <c r="D646" s="2" t="s">
        <v>89</v>
      </c>
      <c r="E646" s="2" t="s">
        <v>90</v>
      </c>
      <c r="F646" s="2" t="s">
        <v>91</v>
      </c>
    </row>
    <row r="647" spans="1:10">
      <c r="A647" s="3" t="s">
        <v>306</v>
      </c>
      <c r="B647" s="8" cm="1">
        <f t="array" ref="B647">AVERAGE(ABS($J$594:$J$629-B594:B629))</f>
        <v>11.4833333333333</v>
      </c>
      <c r="C647" s="8" cm="1">
        <f t="array" ref="C647">AVERAGE(ABS($J$594:$J$629-C594:C629))</f>
        <v>10.0277777777778</v>
      </c>
      <c r="D647" s="8" cm="1">
        <f t="array" ref="D647">AVERAGE(ABS($J$594:$J$629-D594:D629))</f>
        <v>13.4888888888889</v>
      </c>
      <c r="E647" s="8" cm="1">
        <f t="array" ref="E647">AVERAGE(ABS($J$594:$J$629-E594:E629))</f>
        <v>9.3</v>
      </c>
      <c r="F647" s="8" cm="1">
        <f t="array" ref="F647">AVERAGE(ABS($J$594:$J$629-F594:F629))</f>
        <v>15.0944444444444</v>
      </c>
    </row>
    <row r="648" spans="1:10">
      <c r="A648" s="4"/>
      <c r="B648" s="8" t="s">
        <v>302</v>
      </c>
      <c r="C648" s="8">
        <f>MAX(B647:F647)</f>
        <v>15.0944444444444</v>
      </c>
      <c r="D648" s="8" t="s">
        <v>303</v>
      </c>
      <c r="E648" s="8">
        <f>MIN(B647:F647)</f>
        <v>9.3</v>
      </c>
      <c r="F648" s="8"/>
    </row>
    <row r="651" spans="1:10">
      <c r="A651" s="2" t="s">
        <v>14</v>
      </c>
      <c r="B651" s="2" t="s">
        <v>87</v>
      </c>
      <c r="C651" s="2" t="s">
        <v>88</v>
      </c>
      <c r="D651" s="2" t="s">
        <v>89</v>
      </c>
      <c r="E651" s="2" t="s">
        <v>90</v>
      </c>
      <c r="F651" s="2" t="s">
        <v>91</v>
      </c>
    </row>
    <row r="652" spans="1:10">
      <c r="A652" t="s">
        <v>20</v>
      </c>
      <c r="B652">
        <v>88.6</v>
      </c>
      <c r="C652">
        <v>91.4</v>
      </c>
      <c r="D652">
        <v>91.4</v>
      </c>
      <c r="E652">
        <v>84.6</v>
      </c>
      <c r="F652">
        <v>86.2</v>
      </c>
      <c r="G652">
        <f t="shared" ref="G652:G687" si="42">AVERAGE(B652:F652)</f>
        <v>88.44</v>
      </c>
      <c r="J652" s="4">
        <v>80.6</v>
      </c>
    </row>
    <row r="653" spans="1:10">
      <c r="A653" t="s">
        <v>21</v>
      </c>
      <c r="B653">
        <v>86</v>
      </c>
      <c r="C653">
        <v>88.4</v>
      </c>
      <c r="D653">
        <v>88.6</v>
      </c>
      <c r="E653">
        <v>79.4</v>
      </c>
      <c r="F653">
        <v>86</v>
      </c>
      <c r="G653">
        <f t="shared" si="42"/>
        <v>85.68</v>
      </c>
      <c r="J653" s="4">
        <v>82.2</v>
      </c>
    </row>
    <row r="654" spans="1:10">
      <c r="A654" t="s">
        <v>22</v>
      </c>
      <c r="B654">
        <v>75.4</v>
      </c>
      <c r="C654">
        <v>78.6</v>
      </c>
      <c r="D654">
        <v>82.4</v>
      </c>
      <c r="E654">
        <v>67</v>
      </c>
      <c r="F654">
        <v>81.4</v>
      </c>
      <c r="G654">
        <f t="shared" si="42"/>
        <v>76.96</v>
      </c>
      <c r="J654" s="4">
        <v>72</v>
      </c>
    </row>
    <row r="655" spans="1:10">
      <c r="A655" t="s">
        <v>23</v>
      </c>
      <c r="B655">
        <v>88.4</v>
      </c>
      <c r="C655">
        <v>88.4</v>
      </c>
      <c r="D655">
        <v>90.2</v>
      </c>
      <c r="E655">
        <v>82.2</v>
      </c>
      <c r="F655">
        <v>87.2</v>
      </c>
      <c r="G655">
        <f t="shared" si="42"/>
        <v>87.28</v>
      </c>
      <c r="J655" s="4">
        <v>82.4</v>
      </c>
    </row>
    <row r="656" spans="1:10">
      <c r="A656" t="s">
        <v>24</v>
      </c>
      <c r="B656">
        <v>76.8</v>
      </c>
      <c r="C656">
        <v>80.6</v>
      </c>
      <c r="D656">
        <v>83.4</v>
      </c>
      <c r="E656">
        <v>71.8</v>
      </c>
      <c r="F656">
        <v>81.4</v>
      </c>
      <c r="G656">
        <f t="shared" si="42"/>
        <v>78.8</v>
      </c>
      <c r="J656" s="4">
        <v>81.6</v>
      </c>
    </row>
    <row r="657" spans="1:10">
      <c r="A657" t="s">
        <v>25</v>
      </c>
      <c r="B657">
        <v>90.6</v>
      </c>
      <c r="C657">
        <v>94.6</v>
      </c>
      <c r="D657">
        <v>94.2</v>
      </c>
      <c r="E657">
        <v>90.6</v>
      </c>
      <c r="F657">
        <v>89.4</v>
      </c>
      <c r="G657">
        <f t="shared" si="42"/>
        <v>91.88</v>
      </c>
      <c r="J657" s="4">
        <v>86</v>
      </c>
    </row>
    <row r="658" spans="1:10">
      <c r="A658" t="s">
        <v>26</v>
      </c>
      <c r="B658">
        <v>76.8</v>
      </c>
      <c r="C658">
        <v>80.6</v>
      </c>
      <c r="D658">
        <v>83</v>
      </c>
      <c r="E658">
        <v>71.8</v>
      </c>
      <c r="F658">
        <v>81.4</v>
      </c>
      <c r="G658">
        <f t="shared" si="42"/>
        <v>78.72</v>
      </c>
      <c r="J658" s="4">
        <v>81.6</v>
      </c>
    </row>
    <row r="659" spans="1:10">
      <c r="A659" t="s">
        <v>27</v>
      </c>
      <c r="B659">
        <v>84.2</v>
      </c>
      <c r="C659">
        <v>86</v>
      </c>
      <c r="D659">
        <v>85.2</v>
      </c>
      <c r="E659">
        <v>71.6</v>
      </c>
      <c r="F659">
        <v>83</v>
      </c>
      <c r="G659">
        <f t="shared" si="42"/>
        <v>82</v>
      </c>
      <c r="J659" s="4">
        <v>81.2</v>
      </c>
    </row>
    <row r="660" spans="1:10">
      <c r="A660" t="s">
        <v>28</v>
      </c>
      <c r="B660">
        <v>89</v>
      </c>
      <c r="C660">
        <v>96.8</v>
      </c>
      <c r="D660">
        <v>93.4</v>
      </c>
      <c r="E660">
        <v>90</v>
      </c>
      <c r="F660">
        <v>91.6</v>
      </c>
      <c r="G660">
        <f t="shared" si="42"/>
        <v>92.16</v>
      </c>
      <c r="J660" s="4">
        <v>81.8</v>
      </c>
    </row>
    <row r="661" spans="1:10">
      <c r="A661" t="s">
        <v>29</v>
      </c>
      <c r="B661">
        <v>88.2</v>
      </c>
      <c r="C661">
        <v>85.8</v>
      </c>
      <c r="D661">
        <v>89</v>
      </c>
      <c r="E661">
        <v>82.8</v>
      </c>
      <c r="F661">
        <v>86.2</v>
      </c>
      <c r="G661">
        <f t="shared" si="42"/>
        <v>86.4</v>
      </c>
      <c r="J661" s="4">
        <v>83</v>
      </c>
    </row>
    <row r="662" spans="1:10">
      <c r="A662" t="s">
        <v>30</v>
      </c>
      <c r="B662">
        <v>89</v>
      </c>
      <c r="C662">
        <v>80.6</v>
      </c>
      <c r="D662">
        <v>90.2</v>
      </c>
      <c r="E662">
        <v>86.6</v>
      </c>
      <c r="F662">
        <v>87.2</v>
      </c>
      <c r="G662">
        <f t="shared" si="42"/>
        <v>86.72</v>
      </c>
      <c r="J662" s="4">
        <v>86</v>
      </c>
    </row>
    <row r="663" spans="1:10">
      <c r="A663" t="s">
        <v>31</v>
      </c>
      <c r="B663">
        <v>76.8</v>
      </c>
      <c r="C663">
        <v>90.2</v>
      </c>
      <c r="D663">
        <v>83.4</v>
      </c>
      <c r="E663">
        <v>70.6</v>
      </c>
      <c r="F663">
        <v>81.4</v>
      </c>
      <c r="G663">
        <f t="shared" si="42"/>
        <v>80.48</v>
      </c>
      <c r="J663" s="4">
        <v>81.6</v>
      </c>
    </row>
    <row r="664" spans="1:10">
      <c r="A664" t="s">
        <v>32</v>
      </c>
      <c r="B664">
        <v>88.2</v>
      </c>
      <c r="C664">
        <v>89.4</v>
      </c>
      <c r="D664">
        <v>89.4</v>
      </c>
      <c r="E664">
        <v>83.4</v>
      </c>
      <c r="F664">
        <v>86</v>
      </c>
      <c r="G664">
        <f t="shared" si="42"/>
        <v>87.28</v>
      </c>
      <c r="J664" s="4">
        <v>81.6</v>
      </c>
    </row>
    <row r="665" spans="1:10">
      <c r="A665" t="s">
        <v>33</v>
      </c>
      <c r="B665">
        <v>89.8</v>
      </c>
      <c r="C665">
        <v>87</v>
      </c>
      <c r="D665">
        <v>92.2</v>
      </c>
      <c r="E665">
        <v>89.8</v>
      </c>
      <c r="F665">
        <v>88.2</v>
      </c>
      <c r="G665">
        <f t="shared" si="42"/>
        <v>89.4</v>
      </c>
      <c r="J665" s="4">
        <v>86</v>
      </c>
    </row>
    <row r="666" spans="1:10">
      <c r="A666" t="s">
        <v>34</v>
      </c>
      <c r="B666">
        <v>88</v>
      </c>
      <c r="C666">
        <v>81.2</v>
      </c>
      <c r="D666">
        <v>91</v>
      </c>
      <c r="E666">
        <v>88.8</v>
      </c>
      <c r="F666">
        <v>91.2</v>
      </c>
      <c r="G666">
        <f t="shared" si="42"/>
        <v>88.04</v>
      </c>
      <c r="J666" s="4">
        <v>81.8</v>
      </c>
    </row>
    <row r="667" spans="1:10">
      <c r="A667" t="s">
        <v>35</v>
      </c>
      <c r="B667">
        <v>86.4</v>
      </c>
      <c r="C667">
        <v>85.6</v>
      </c>
      <c r="D667">
        <v>89</v>
      </c>
      <c r="E667">
        <v>82.8</v>
      </c>
      <c r="F667">
        <v>84.2</v>
      </c>
      <c r="G667">
        <f t="shared" si="42"/>
        <v>85.6</v>
      </c>
      <c r="J667" s="4">
        <v>82.2</v>
      </c>
    </row>
    <row r="668" spans="1:10">
      <c r="A668" t="s">
        <v>36</v>
      </c>
      <c r="B668">
        <v>84.8</v>
      </c>
      <c r="C668">
        <v>81.2</v>
      </c>
      <c r="D668">
        <v>85.4</v>
      </c>
      <c r="E668">
        <v>71.6</v>
      </c>
      <c r="F668">
        <v>82.6</v>
      </c>
      <c r="G668">
        <f t="shared" si="42"/>
        <v>81.12</v>
      </c>
      <c r="J668" s="4">
        <v>61</v>
      </c>
    </row>
    <row r="669" spans="1:10">
      <c r="A669" t="s">
        <v>37</v>
      </c>
      <c r="B669">
        <v>84.2</v>
      </c>
      <c r="C669">
        <v>85.6</v>
      </c>
      <c r="D669">
        <v>83.4</v>
      </c>
      <c r="E669">
        <v>83.4</v>
      </c>
      <c r="F669">
        <v>82.4</v>
      </c>
      <c r="G669">
        <f t="shared" si="42"/>
        <v>83.8</v>
      </c>
      <c r="J669" s="4">
        <v>80.6</v>
      </c>
    </row>
    <row r="670" spans="1:10">
      <c r="A670" t="s">
        <v>38</v>
      </c>
      <c r="B670">
        <v>94.4</v>
      </c>
      <c r="C670">
        <v>94</v>
      </c>
      <c r="D670">
        <v>94.6</v>
      </c>
      <c r="E670">
        <v>94</v>
      </c>
      <c r="F670">
        <v>92.2</v>
      </c>
      <c r="G670">
        <f t="shared" si="42"/>
        <v>93.84</v>
      </c>
      <c r="J670" s="4">
        <v>93.2</v>
      </c>
    </row>
    <row r="671" spans="1:10">
      <c r="A671" t="s">
        <v>39</v>
      </c>
      <c r="B671">
        <v>83.8</v>
      </c>
      <c r="C671">
        <v>83.2</v>
      </c>
      <c r="D671">
        <v>89.2</v>
      </c>
      <c r="E671">
        <v>80.4</v>
      </c>
      <c r="F671">
        <v>83.6</v>
      </c>
      <c r="G671">
        <f t="shared" si="42"/>
        <v>84.04</v>
      </c>
      <c r="J671" s="4">
        <v>81.2</v>
      </c>
    </row>
    <row r="672" spans="1:10">
      <c r="A672" t="s">
        <v>40</v>
      </c>
      <c r="B672">
        <v>85.6</v>
      </c>
      <c r="C672">
        <v>85.8</v>
      </c>
      <c r="D672">
        <v>89.2</v>
      </c>
      <c r="E672">
        <v>80.4</v>
      </c>
      <c r="F672">
        <v>90.2</v>
      </c>
      <c r="G672">
        <f t="shared" si="42"/>
        <v>86.24</v>
      </c>
      <c r="J672" s="4">
        <v>81.6</v>
      </c>
    </row>
    <row r="673" spans="1:10">
      <c r="A673" t="s">
        <v>41</v>
      </c>
      <c r="B673">
        <v>29.6</v>
      </c>
      <c r="C673">
        <v>25</v>
      </c>
      <c r="D673">
        <v>26.2</v>
      </c>
      <c r="E673">
        <v>22.6</v>
      </c>
      <c r="F673">
        <v>33.8</v>
      </c>
      <c r="G673">
        <f t="shared" si="42"/>
        <v>27.44</v>
      </c>
      <c r="J673" s="4">
        <v>43.6</v>
      </c>
    </row>
    <row r="674" spans="1:10">
      <c r="A674" t="s">
        <v>42</v>
      </c>
      <c r="B674">
        <v>85.2</v>
      </c>
      <c r="C674">
        <v>85.4</v>
      </c>
      <c r="D674">
        <v>89.2</v>
      </c>
      <c r="E674">
        <v>83.4</v>
      </c>
      <c r="F674">
        <v>90.2</v>
      </c>
      <c r="G674">
        <f t="shared" si="42"/>
        <v>86.68</v>
      </c>
      <c r="J674" s="4">
        <v>80.6</v>
      </c>
    </row>
    <row r="675" spans="1:10">
      <c r="A675" t="s">
        <v>43</v>
      </c>
      <c r="B675">
        <v>85</v>
      </c>
      <c r="C675">
        <v>85</v>
      </c>
      <c r="D675">
        <v>85</v>
      </c>
      <c r="E675">
        <v>79.8</v>
      </c>
      <c r="F675">
        <v>82</v>
      </c>
      <c r="G675">
        <f t="shared" si="42"/>
        <v>83.36</v>
      </c>
      <c r="J675" s="4">
        <v>81.6</v>
      </c>
    </row>
    <row r="676" spans="1:10">
      <c r="A676" t="s">
        <v>44</v>
      </c>
      <c r="B676">
        <v>85.2</v>
      </c>
      <c r="C676">
        <v>85.8</v>
      </c>
      <c r="D676">
        <v>89.2</v>
      </c>
      <c r="E676">
        <v>85.6</v>
      </c>
      <c r="F676">
        <v>89.6</v>
      </c>
      <c r="G676">
        <f t="shared" si="42"/>
        <v>87.08</v>
      </c>
      <c r="J676" s="4">
        <v>83</v>
      </c>
    </row>
    <row r="677" spans="1:10">
      <c r="A677" t="s">
        <v>46</v>
      </c>
      <c r="B677">
        <v>84.6</v>
      </c>
      <c r="C677">
        <v>84.4</v>
      </c>
      <c r="D677">
        <v>87.8</v>
      </c>
      <c r="E677">
        <v>80.6</v>
      </c>
      <c r="F677">
        <v>89.6</v>
      </c>
      <c r="G677">
        <f t="shared" si="42"/>
        <v>85.4</v>
      </c>
      <c r="J677" s="4">
        <v>81.2</v>
      </c>
    </row>
    <row r="678" spans="1:10">
      <c r="A678" t="s">
        <v>45</v>
      </c>
      <c r="B678">
        <v>93</v>
      </c>
      <c r="C678">
        <v>94</v>
      </c>
      <c r="D678">
        <v>93.4</v>
      </c>
      <c r="E678">
        <v>90.8</v>
      </c>
      <c r="F678">
        <v>91.8</v>
      </c>
      <c r="G678">
        <f t="shared" si="42"/>
        <v>92.6</v>
      </c>
      <c r="J678" s="4">
        <v>81.8</v>
      </c>
    </row>
    <row r="679" spans="1:10">
      <c r="A679" t="s">
        <v>47</v>
      </c>
      <c r="B679">
        <v>59.2</v>
      </c>
      <c r="C679">
        <v>52.2</v>
      </c>
      <c r="D679">
        <v>65.4</v>
      </c>
      <c r="E679">
        <v>44.2</v>
      </c>
      <c r="F679">
        <v>80.4</v>
      </c>
      <c r="G679">
        <f t="shared" si="42"/>
        <v>60.28</v>
      </c>
      <c r="J679" s="4">
        <v>83</v>
      </c>
    </row>
    <row r="680" spans="1:10">
      <c r="A680" t="s">
        <v>48</v>
      </c>
      <c r="B680">
        <v>85.6</v>
      </c>
      <c r="C680">
        <v>85.8</v>
      </c>
      <c r="D680">
        <v>87.4</v>
      </c>
      <c r="E680">
        <v>83.8</v>
      </c>
      <c r="F680">
        <v>90.2</v>
      </c>
      <c r="G680">
        <f t="shared" si="42"/>
        <v>86.56</v>
      </c>
      <c r="J680" s="4">
        <v>69</v>
      </c>
    </row>
    <row r="681" spans="1:10">
      <c r="A681" t="s">
        <v>49</v>
      </c>
      <c r="B681">
        <v>86.6</v>
      </c>
      <c r="C681">
        <v>88.2</v>
      </c>
      <c r="D681">
        <v>91</v>
      </c>
      <c r="E681">
        <v>88.4</v>
      </c>
      <c r="F681">
        <v>92.2</v>
      </c>
      <c r="G681">
        <f t="shared" si="42"/>
        <v>89.28</v>
      </c>
      <c r="J681" s="4">
        <v>86</v>
      </c>
    </row>
    <row r="682" spans="1:10">
      <c r="A682" t="s">
        <v>50</v>
      </c>
      <c r="B682">
        <v>85</v>
      </c>
      <c r="C682">
        <v>85</v>
      </c>
      <c r="D682">
        <v>85</v>
      </c>
      <c r="E682">
        <v>79.8</v>
      </c>
      <c r="F682">
        <v>82</v>
      </c>
      <c r="G682">
        <f t="shared" si="42"/>
        <v>83.36</v>
      </c>
      <c r="J682" s="4">
        <v>82.2</v>
      </c>
    </row>
    <row r="683" spans="1:10">
      <c r="A683" t="s">
        <v>51</v>
      </c>
      <c r="B683">
        <v>85.6</v>
      </c>
      <c r="C683">
        <v>89.4</v>
      </c>
      <c r="D683">
        <v>89.2</v>
      </c>
      <c r="E683">
        <v>84.8</v>
      </c>
      <c r="F683">
        <v>90.2</v>
      </c>
      <c r="G683">
        <f t="shared" si="42"/>
        <v>87.84</v>
      </c>
      <c r="J683" s="4">
        <v>82.4</v>
      </c>
    </row>
    <row r="684" spans="1:10">
      <c r="A684" t="s">
        <v>54</v>
      </c>
      <c r="B684">
        <v>59.2</v>
      </c>
      <c r="C684">
        <v>52.2</v>
      </c>
      <c r="D684">
        <v>65.4</v>
      </c>
      <c r="E684">
        <v>44.2</v>
      </c>
      <c r="F684">
        <v>80.4</v>
      </c>
      <c r="G684">
        <f t="shared" si="42"/>
        <v>60.28</v>
      </c>
      <c r="J684" s="4">
        <v>82.4</v>
      </c>
    </row>
    <row r="685" spans="1:10">
      <c r="A685" t="s">
        <v>52</v>
      </c>
      <c r="B685">
        <v>85.2</v>
      </c>
      <c r="C685">
        <v>85.8</v>
      </c>
      <c r="D685">
        <v>89.2</v>
      </c>
      <c r="E685">
        <v>85.6</v>
      </c>
      <c r="F685">
        <v>90.2</v>
      </c>
      <c r="G685">
        <f t="shared" si="42"/>
        <v>87.2</v>
      </c>
      <c r="J685" s="4">
        <v>83</v>
      </c>
    </row>
    <row r="686" spans="1:10">
      <c r="A686" t="s">
        <v>53</v>
      </c>
      <c r="B686">
        <v>86.6</v>
      </c>
      <c r="C686">
        <v>86.4</v>
      </c>
      <c r="D686">
        <v>91</v>
      </c>
      <c r="E686">
        <v>88.4</v>
      </c>
      <c r="F686">
        <v>92.2</v>
      </c>
      <c r="G686">
        <f t="shared" si="42"/>
        <v>88.92</v>
      </c>
      <c r="J686" s="4">
        <v>86</v>
      </c>
    </row>
    <row r="687" spans="1:10">
      <c r="A687" t="s">
        <v>55</v>
      </c>
      <c r="B687">
        <v>81</v>
      </c>
      <c r="C687">
        <v>82.6</v>
      </c>
      <c r="D687">
        <v>83.8</v>
      </c>
      <c r="E687">
        <v>79.8</v>
      </c>
      <c r="F687">
        <v>79.6</v>
      </c>
      <c r="G687">
        <f t="shared" si="42"/>
        <v>81.36</v>
      </c>
      <c r="J687" s="4">
        <v>79</v>
      </c>
    </row>
    <row r="688" spans="1:10">
      <c r="A688" t="s">
        <v>276</v>
      </c>
      <c r="B688">
        <f>AVERAGE(B652:B687)</f>
        <v>82.5444444444444</v>
      </c>
      <c r="C688">
        <f>AVERAGE(C652:C687)</f>
        <v>82.8388888888889</v>
      </c>
      <c r="D688">
        <f>AVERAGE(D652:D687)</f>
        <v>85.4444444444445</v>
      </c>
      <c r="E688">
        <f>AVERAGE(E652:E687)</f>
        <v>78.4833333333333</v>
      </c>
      <c r="F688">
        <f>AVERAGE(F652:F687)</f>
        <v>84.9277777777778</v>
      </c>
    </row>
    <row r="689" spans="1:6">
      <c r="A689" t="s">
        <v>277</v>
      </c>
      <c r="B689">
        <f>AVERAGE(B652:F687)</f>
        <v>82.8477777777778</v>
      </c>
    </row>
    <row r="690" spans="1:6">
      <c r="A690" t="s">
        <v>278</v>
      </c>
      <c r="B690">
        <f>5*DEVSQ(G652:G687)</f>
        <v>24627.5011111111</v>
      </c>
    </row>
    <row r="691" spans="1:6">
      <c r="A691" t="s">
        <v>279</v>
      </c>
      <c r="B691">
        <f>36*DEVSQ(B688:F688)</f>
        <v>1087.54355555558</v>
      </c>
    </row>
    <row r="692" spans="1:6">
      <c r="A692" t="s">
        <v>280</v>
      </c>
      <c r="B692">
        <f>DEVSQ(B652:F687)</f>
        <v>27802.5891111111</v>
      </c>
    </row>
    <row r="693" spans="1:6">
      <c r="A693" t="s">
        <v>281</v>
      </c>
      <c r="B693">
        <f>B692-B690-B691</f>
        <v>2087.54444444441</v>
      </c>
    </row>
    <row r="694" spans="1:6">
      <c r="A694" t="s">
        <v>282</v>
      </c>
      <c r="B694">
        <f>B690/(36-1)</f>
        <v>703.642888888889</v>
      </c>
    </row>
    <row r="695" spans="1:6">
      <c r="A695" t="s">
        <v>283</v>
      </c>
      <c r="B695">
        <f>B691/(5-1)</f>
        <v>271.885888888895</v>
      </c>
    </row>
    <row r="696" spans="1:6">
      <c r="A696" t="s">
        <v>284</v>
      </c>
      <c r="B696">
        <f>B693/((36-1)*(5-1))</f>
        <v>14.9110317460315</v>
      </c>
    </row>
    <row r="697" spans="1:6">
      <c r="A697" t="s">
        <v>330</v>
      </c>
      <c r="B697">
        <f>(B694-B696)/(B694+(5-1)*B696)</f>
        <v>0.902323559578851</v>
      </c>
    </row>
    <row r="698" spans="1:6">
      <c r="A698" t="s">
        <v>331</v>
      </c>
      <c r="B698">
        <f>(B694-B696)/(B694+(5-1)*B696+5*(B695-B696)/36)</f>
        <v>0.862016081179266</v>
      </c>
    </row>
    <row r="699" spans="1:6">
      <c r="A699" t="s">
        <v>295</v>
      </c>
      <c r="B699">
        <f>B694/B696</f>
        <v>47.189416592595</v>
      </c>
    </row>
    <row r="700" spans="1:6">
      <c r="A700" t="s">
        <v>322</v>
      </c>
      <c r="B700">
        <f>FINV(0.975,35,140)</f>
        <v>0.563799538136261</v>
      </c>
    </row>
    <row r="701" spans="1:6">
      <c r="A701" t="s">
        <v>323</v>
      </c>
      <c r="B701">
        <f>FINV(0.025,35,140)</f>
        <v>1.62931745195914</v>
      </c>
    </row>
    <row r="702" spans="1:6">
      <c r="A702" t="s">
        <v>298</v>
      </c>
      <c r="B702">
        <f>(B699-B701)/(B699+4*B701)</f>
        <v>0.848313351543315</v>
      </c>
    </row>
    <row r="703" spans="1:6">
      <c r="A703" t="s">
        <v>299</v>
      </c>
      <c r="B703">
        <f>(B699-B700)/(B699+4*B700)</f>
        <v>0.94298675992903</v>
      </c>
    </row>
    <row r="704" spans="1:6">
      <c r="B704" s="2" t="s">
        <v>87</v>
      </c>
      <c r="C704" s="2" t="s">
        <v>88</v>
      </c>
      <c r="D704" s="2" t="s">
        <v>89</v>
      </c>
      <c r="E704" s="2" t="s">
        <v>90</v>
      </c>
      <c r="F704" s="2" t="s">
        <v>91</v>
      </c>
    </row>
    <row r="705" spans="1:6">
      <c r="A705" s="3" t="s">
        <v>306</v>
      </c>
      <c r="B705" s="8" cm="1">
        <f t="array" ref="B705">AVERAGE(ABS($J$652:$J$687-B652:B687))</f>
        <v>6.34444444444444</v>
      </c>
      <c r="C705" s="8" cm="1">
        <f t="array" ref="C705">AVERAGE(ABS($J$652:$J$687-C652:C687))</f>
        <v>7.31666666666667</v>
      </c>
      <c r="D705" s="8" cm="1">
        <f t="array" ref="D705">AVERAGE(ABS($J$652:$J$687-D652:D687))</f>
        <v>7.94444444444445</v>
      </c>
      <c r="E705" s="8" cm="1">
        <f t="array" ref="E705">AVERAGE(ABS($J$652:$J$687-E652:E687))</f>
        <v>6.60555555555556</v>
      </c>
      <c r="F705" s="8" cm="1">
        <f t="array" ref="F705">AVERAGE(ABS($J$652:$J$687-F652:F687))</f>
        <v>5.43888888888889</v>
      </c>
    </row>
    <row r="706" spans="1:6">
      <c r="A706" s="4"/>
      <c r="B706" s="8" t="s">
        <v>302</v>
      </c>
      <c r="C706" s="8">
        <f>MAX(B705:F705)</f>
        <v>7.94444444444445</v>
      </c>
      <c r="D706" s="8" t="s">
        <v>303</v>
      </c>
      <c r="E706" s="8">
        <f>MIN(B705:F705)</f>
        <v>5.43888888888889</v>
      </c>
      <c r="F706" s="8"/>
    </row>
  </sheetData>
  <mergeCells count="4">
    <mergeCell ref="A3:F3"/>
    <mergeCell ref="K3:P3"/>
    <mergeCell ref="R3:W3"/>
    <mergeCell ref="Z3:AD3"/>
  </mergeCells>
  <conditionalFormatting sqref="H$1:H$1048576">
    <cfRule type="cellIs" dxfId="0" priority="1" operator="greaterThan">
      <formula>20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3"/>
  <sheetViews>
    <sheetView zoomScale="145" zoomScaleNormal="145" workbookViewId="0">
      <selection activeCell="B5" sqref="B5:G10"/>
    </sheetView>
  </sheetViews>
  <sheetFormatPr defaultColWidth="9" defaultRowHeight="13.5" outlineLevelCol="6"/>
  <cols>
    <col min="1" max="1" width="27.3333333333333" customWidth="1"/>
    <col min="2" max="2" width="15.875" customWidth="1"/>
    <col min="3" max="3" width="18.125" customWidth="1"/>
    <col min="4" max="4" width="14.5" customWidth="1"/>
    <col min="5" max="5" width="16.25" customWidth="1"/>
    <col min="6" max="6" width="17.625" customWidth="1"/>
    <col min="7" max="7" width="17.75" customWidth="1"/>
  </cols>
  <sheetData>
    <row r="1" ht="15" spans="1:7">
      <c r="A1" s="11" t="s">
        <v>332</v>
      </c>
    </row>
    <row r="4" spans="1:7">
      <c r="A4" s="2" t="s">
        <v>333</v>
      </c>
      <c r="B4" s="2" t="s">
        <v>334</v>
      </c>
      <c r="C4" s="2" t="s">
        <v>335</v>
      </c>
      <c r="D4" s="2" t="s">
        <v>336</v>
      </c>
      <c r="E4" s="2" t="s">
        <v>337</v>
      </c>
      <c r="F4" s="2" t="s">
        <v>338</v>
      </c>
      <c r="G4" s="2" t="s">
        <v>339</v>
      </c>
    </row>
    <row r="5" spans="1:7">
      <c r="A5" t="s">
        <v>340</v>
      </c>
      <c r="B5" s="13">
        <f>AVERAGE(B13:B48)</f>
        <v>50.0166666666667</v>
      </c>
      <c r="C5" s="13">
        <f>AVERAGE(C13:C48)</f>
        <v>70.1777777777778</v>
      </c>
      <c r="D5" s="13">
        <f>AVERAGE(D13:D48)</f>
        <v>84.85</v>
      </c>
      <c r="E5" s="13">
        <f>AVERAGE(E13:E48)</f>
        <v>68.9722222222222</v>
      </c>
      <c r="F5" s="13">
        <f>AVERAGE(F13:F48)</f>
        <v>80.3888888888889</v>
      </c>
      <c r="G5" s="13">
        <f t="shared" ref="G5:G10" si="0">F5-B5</f>
        <v>30.3722222222222</v>
      </c>
    </row>
    <row r="6" spans="1:7">
      <c r="A6" t="s">
        <v>341</v>
      </c>
      <c r="B6" s="13">
        <f>AVERAGE(B50:B85)</f>
        <v>69.9611111111111</v>
      </c>
      <c r="C6" s="13">
        <f>AVERAGE(C50:C85)</f>
        <v>75.6944444444445</v>
      </c>
      <c r="D6" s="13">
        <f>AVERAGE(D50:D85)</f>
        <v>87.0222222222222</v>
      </c>
      <c r="E6" s="13">
        <f>AVERAGE(E50:E85)</f>
        <v>80.4444444444444</v>
      </c>
      <c r="F6" s="13">
        <f>AVERAGE(F50:F85)</f>
        <v>82.5444444444444</v>
      </c>
      <c r="G6" s="13">
        <f t="shared" si="0"/>
        <v>12.5833333333333</v>
      </c>
    </row>
    <row r="7" spans="1:7">
      <c r="A7" t="s">
        <v>342</v>
      </c>
      <c r="B7" s="13">
        <f>AVERAGE(B87:B122)</f>
        <v>65.4111111111111</v>
      </c>
      <c r="C7" s="13">
        <f>AVERAGE(C87:C122)</f>
        <v>70.8111111111111</v>
      </c>
      <c r="D7" s="13">
        <f>AVERAGE(D87:D122)</f>
        <v>80.5833333333333</v>
      </c>
      <c r="E7" s="13">
        <f>AVERAGE(E87:E122)</f>
        <v>78.7333333333333</v>
      </c>
      <c r="F7" s="13">
        <f>AVERAGE(F87:F122)</f>
        <v>82.8388888888889</v>
      </c>
      <c r="G7" s="13">
        <f t="shared" si="0"/>
        <v>17.4277777777778</v>
      </c>
    </row>
    <row r="8" spans="1:7">
      <c r="A8" t="s">
        <v>343</v>
      </c>
      <c r="B8" s="13">
        <f>AVERAGE(B124:B159)</f>
        <v>65.8944444444444</v>
      </c>
      <c r="C8" s="13">
        <f>AVERAGE(C124:C159)</f>
        <v>74.4777777777778</v>
      </c>
      <c r="D8" s="13">
        <f>AVERAGE(D124:D159)</f>
        <v>83.6833333333333</v>
      </c>
      <c r="E8" s="13">
        <f>AVERAGE(E124:E159)</f>
        <v>81.7</v>
      </c>
      <c r="F8" s="13">
        <f>AVERAGE(F124:F159)</f>
        <v>85.4444444444445</v>
      </c>
      <c r="G8" s="13">
        <f t="shared" si="0"/>
        <v>19.55</v>
      </c>
    </row>
    <row r="9" spans="1:7">
      <c r="A9" t="s">
        <v>344</v>
      </c>
      <c r="B9" s="13">
        <f>AVERAGE(B161:B196)</f>
        <v>58.4055555555556</v>
      </c>
      <c r="C9" s="13">
        <f>AVERAGE(C161:C196)</f>
        <v>66.5194444444444</v>
      </c>
      <c r="D9" s="13">
        <f>AVERAGE(D161:D196)</f>
        <v>80.9305555555556</v>
      </c>
      <c r="E9" s="13">
        <f>AVERAGE(E161:E196)</f>
        <v>76.8833333333333</v>
      </c>
      <c r="F9" s="13">
        <f>AVERAGE(F161:F196)</f>
        <v>78.4833333333333</v>
      </c>
      <c r="G9" s="13">
        <f t="shared" si="0"/>
        <v>20.0777777777778</v>
      </c>
    </row>
    <row r="10" spans="1:7">
      <c r="A10" s="2" t="s">
        <v>345</v>
      </c>
      <c r="B10" s="44">
        <f>AVERAGE(B198:B233)</f>
        <v>67.6611111111111</v>
      </c>
      <c r="C10" s="44">
        <f>AVERAGE(C198:C233)</f>
        <v>71.9</v>
      </c>
      <c r="D10" s="44">
        <f>AVERAGE(D198:D233)</f>
        <v>84.0666666666667</v>
      </c>
      <c r="E10" s="44">
        <f>AVERAGE(E198:E233)</f>
        <v>84.0555555555555</v>
      </c>
      <c r="F10" s="44">
        <f>AVERAGE(F198:F233)</f>
        <v>84.9277777777778</v>
      </c>
      <c r="G10" s="13">
        <f t="shared" si="0"/>
        <v>17.2666666666667</v>
      </c>
    </row>
    <row r="11" spans="1:7">
      <c r="A11" t="s">
        <v>340</v>
      </c>
    </row>
    <row r="12" spans="1:7">
      <c r="A12" s="2" t="s">
        <v>340</v>
      </c>
      <c r="B12" s="2" t="s">
        <v>346</v>
      </c>
      <c r="C12" s="2" t="s">
        <v>347</v>
      </c>
      <c r="D12" s="2" t="s">
        <v>348</v>
      </c>
      <c r="E12" s="2" t="s">
        <v>349</v>
      </c>
      <c r="F12" s="2" t="s">
        <v>350</v>
      </c>
    </row>
    <row r="13" spans="1:7">
      <c r="A13" t="s">
        <v>20</v>
      </c>
      <c r="B13">
        <v>57.2</v>
      </c>
      <c r="C13">
        <v>79.6</v>
      </c>
      <c r="D13">
        <v>91.6</v>
      </c>
      <c r="E13">
        <v>79.4</v>
      </c>
      <c r="F13">
        <v>80.6</v>
      </c>
    </row>
    <row r="14" spans="1:7">
      <c r="A14" t="s">
        <v>21</v>
      </c>
      <c r="B14">
        <v>42.4</v>
      </c>
      <c r="C14">
        <v>59.6</v>
      </c>
      <c r="D14">
        <v>87.6</v>
      </c>
      <c r="E14">
        <v>63.6</v>
      </c>
      <c r="F14">
        <v>82.2</v>
      </c>
    </row>
    <row r="15" spans="1:7">
      <c r="A15" t="s">
        <v>22</v>
      </c>
      <c r="B15">
        <v>68</v>
      </c>
      <c r="C15">
        <v>51.2</v>
      </c>
      <c r="D15">
        <v>76.2</v>
      </c>
      <c r="E15">
        <v>45.2</v>
      </c>
      <c r="F15">
        <v>72</v>
      </c>
    </row>
    <row r="16" spans="1:7">
      <c r="A16" t="s">
        <v>23</v>
      </c>
      <c r="B16">
        <v>65.8</v>
      </c>
      <c r="C16">
        <v>78.8</v>
      </c>
      <c r="D16">
        <v>28</v>
      </c>
      <c r="E16">
        <v>82.2</v>
      </c>
      <c r="F16">
        <v>82.4</v>
      </c>
    </row>
    <row r="17" spans="1:6">
      <c r="A17" t="s">
        <v>24</v>
      </c>
      <c r="B17">
        <v>57.2</v>
      </c>
      <c r="C17">
        <v>81.2</v>
      </c>
      <c r="D17">
        <v>93.2</v>
      </c>
      <c r="E17">
        <v>72.2</v>
      </c>
      <c r="F17">
        <v>81.6</v>
      </c>
    </row>
    <row r="18" spans="1:6">
      <c r="A18" t="s">
        <v>25</v>
      </c>
      <c r="B18">
        <v>59.6</v>
      </c>
      <c r="C18">
        <v>78.4</v>
      </c>
      <c r="D18">
        <v>91.2</v>
      </c>
      <c r="E18">
        <v>74.2</v>
      </c>
      <c r="F18">
        <v>86</v>
      </c>
    </row>
    <row r="19" spans="1:6">
      <c r="A19" t="s">
        <v>26</v>
      </c>
      <c r="B19">
        <v>60.2</v>
      </c>
      <c r="C19">
        <v>79.2</v>
      </c>
      <c r="D19">
        <v>94</v>
      </c>
      <c r="E19">
        <v>74.2</v>
      </c>
      <c r="F19">
        <v>81.6</v>
      </c>
    </row>
    <row r="20" spans="1:6">
      <c r="A20" t="s">
        <v>27</v>
      </c>
      <c r="B20">
        <v>60.2</v>
      </c>
      <c r="C20">
        <v>79.6</v>
      </c>
      <c r="D20">
        <v>93.2</v>
      </c>
      <c r="E20">
        <v>83.4</v>
      </c>
      <c r="F20">
        <v>81.2</v>
      </c>
    </row>
    <row r="21" spans="1:6">
      <c r="A21" t="s">
        <v>28</v>
      </c>
      <c r="B21">
        <v>60.2</v>
      </c>
      <c r="C21">
        <v>85.6</v>
      </c>
      <c r="D21">
        <v>88.6</v>
      </c>
      <c r="E21">
        <v>78.2</v>
      </c>
      <c r="F21">
        <v>81.8</v>
      </c>
    </row>
    <row r="22" spans="1:6">
      <c r="A22" t="s">
        <v>29</v>
      </c>
      <c r="B22">
        <v>0</v>
      </c>
      <c r="C22">
        <v>77.8</v>
      </c>
      <c r="D22">
        <v>45.2</v>
      </c>
      <c r="E22">
        <v>18.8</v>
      </c>
      <c r="F22">
        <v>83</v>
      </c>
    </row>
    <row r="23" spans="1:6">
      <c r="A23" t="s">
        <v>30</v>
      </c>
      <c r="B23">
        <v>64.6</v>
      </c>
      <c r="C23">
        <v>83.6</v>
      </c>
      <c r="D23">
        <v>92.6</v>
      </c>
      <c r="E23">
        <v>72.2</v>
      </c>
      <c r="F23">
        <v>86</v>
      </c>
    </row>
    <row r="24" spans="1:6">
      <c r="A24" t="s">
        <v>31</v>
      </c>
      <c r="B24">
        <v>41.6</v>
      </c>
      <c r="C24">
        <v>77.8</v>
      </c>
      <c r="D24">
        <v>93.2</v>
      </c>
      <c r="E24">
        <v>88</v>
      </c>
      <c r="F24">
        <v>81.6</v>
      </c>
    </row>
    <row r="25" spans="1:6">
      <c r="A25" t="s">
        <v>32</v>
      </c>
      <c r="B25">
        <v>59.6</v>
      </c>
      <c r="C25">
        <v>77.2</v>
      </c>
      <c r="D25">
        <v>92.6</v>
      </c>
      <c r="E25">
        <v>85.8</v>
      </c>
      <c r="F25">
        <v>81.6</v>
      </c>
    </row>
    <row r="26" spans="1:6">
      <c r="A26" t="s">
        <v>33</v>
      </c>
      <c r="B26">
        <v>59.6</v>
      </c>
      <c r="C26">
        <v>78.8</v>
      </c>
      <c r="D26">
        <v>80.4</v>
      </c>
      <c r="E26">
        <v>67.4</v>
      </c>
      <c r="F26">
        <v>86</v>
      </c>
    </row>
    <row r="27" spans="1:6">
      <c r="A27" t="s">
        <v>34</v>
      </c>
      <c r="B27">
        <v>60.2</v>
      </c>
      <c r="C27">
        <v>79.6</v>
      </c>
      <c r="D27">
        <v>76.2</v>
      </c>
      <c r="E27">
        <v>69.2</v>
      </c>
      <c r="F27">
        <v>81.8</v>
      </c>
    </row>
    <row r="28" spans="1:6">
      <c r="A28" t="s">
        <v>35</v>
      </c>
      <c r="B28">
        <v>39.6</v>
      </c>
      <c r="C28">
        <v>62</v>
      </c>
      <c r="D28">
        <v>81.6</v>
      </c>
      <c r="E28">
        <v>67.4</v>
      </c>
      <c r="F28">
        <v>82.2</v>
      </c>
    </row>
    <row r="29" spans="1:6">
      <c r="A29" t="s">
        <v>36</v>
      </c>
      <c r="B29">
        <v>56.4</v>
      </c>
      <c r="C29">
        <v>66</v>
      </c>
      <c r="D29">
        <v>76.6</v>
      </c>
      <c r="E29">
        <v>45.2</v>
      </c>
      <c r="F29">
        <v>61</v>
      </c>
    </row>
    <row r="30" spans="1:6">
      <c r="A30" t="s">
        <v>37</v>
      </c>
      <c r="B30">
        <v>60.2</v>
      </c>
      <c r="C30">
        <v>85.4</v>
      </c>
      <c r="D30">
        <v>92.6</v>
      </c>
      <c r="E30">
        <v>69.2</v>
      </c>
      <c r="F30">
        <v>80.6</v>
      </c>
    </row>
    <row r="31" spans="1:6">
      <c r="A31" t="s">
        <v>38</v>
      </c>
      <c r="B31">
        <v>64.6</v>
      </c>
      <c r="C31">
        <v>83.6</v>
      </c>
      <c r="D31">
        <v>95</v>
      </c>
      <c r="E31">
        <v>74.2</v>
      </c>
      <c r="F31">
        <v>93.2</v>
      </c>
    </row>
    <row r="32" spans="1:6">
      <c r="A32" t="s">
        <v>39</v>
      </c>
      <c r="B32">
        <v>24.4</v>
      </c>
      <c r="C32">
        <v>43.6</v>
      </c>
      <c r="D32">
        <v>92.6</v>
      </c>
      <c r="E32">
        <v>81.2</v>
      </c>
      <c r="F32">
        <v>81.2</v>
      </c>
    </row>
    <row r="33" spans="1:6">
      <c r="A33" t="s">
        <v>40</v>
      </c>
      <c r="B33">
        <v>57.2</v>
      </c>
      <c r="C33">
        <v>77.8</v>
      </c>
      <c r="D33">
        <v>93.2</v>
      </c>
      <c r="E33">
        <v>80.6</v>
      </c>
      <c r="F33">
        <v>81.6</v>
      </c>
    </row>
    <row r="34" spans="1:6">
      <c r="A34" t="s">
        <v>41</v>
      </c>
      <c r="B34">
        <v>57.2</v>
      </c>
      <c r="C34">
        <v>80.6</v>
      </c>
      <c r="D34">
        <v>47.2</v>
      </c>
      <c r="E34">
        <v>40.4</v>
      </c>
      <c r="F34">
        <v>43.6</v>
      </c>
    </row>
    <row r="35" spans="1:6">
      <c r="A35" t="s">
        <v>42</v>
      </c>
      <c r="B35">
        <v>57.2</v>
      </c>
      <c r="C35">
        <v>79.4</v>
      </c>
      <c r="D35">
        <v>91.6</v>
      </c>
      <c r="E35">
        <v>75.4</v>
      </c>
      <c r="F35">
        <v>80.6</v>
      </c>
    </row>
    <row r="36" spans="1:6">
      <c r="A36" t="s">
        <v>43</v>
      </c>
      <c r="B36">
        <v>42.4</v>
      </c>
      <c r="C36">
        <v>9</v>
      </c>
      <c r="D36">
        <v>67.2</v>
      </c>
      <c r="E36">
        <v>76.2</v>
      </c>
      <c r="F36">
        <v>81.6</v>
      </c>
    </row>
    <row r="37" spans="1:6">
      <c r="A37" t="s">
        <v>44</v>
      </c>
      <c r="B37">
        <v>63.6</v>
      </c>
      <c r="C37">
        <v>91.6</v>
      </c>
      <c r="D37">
        <v>92.6</v>
      </c>
      <c r="E37">
        <v>76.4</v>
      </c>
      <c r="F37">
        <v>83</v>
      </c>
    </row>
    <row r="38" spans="1:6">
      <c r="A38" t="s">
        <v>46</v>
      </c>
      <c r="B38">
        <v>0</v>
      </c>
      <c r="C38">
        <v>9</v>
      </c>
      <c r="D38">
        <v>81.6</v>
      </c>
      <c r="E38">
        <v>69.2</v>
      </c>
      <c r="F38">
        <v>81.2</v>
      </c>
    </row>
    <row r="39" spans="1:6">
      <c r="A39" t="s">
        <v>45</v>
      </c>
      <c r="B39">
        <v>33.6</v>
      </c>
      <c r="C39">
        <v>55.2</v>
      </c>
      <c r="D39">
        <v>90</v>
      </c>
      <c r="E39">
        <v>57.6</v>
      </c>
      <c r="F39">
        <v>81.8</v>
      </c>
    </row>
    <row r="40" spans="1:6">
      <c r="A40" t="s">
        <v>47</v>
      </c>
      <c r="B40">
        <v>32.4</v>
      </c>
      <c r="C40">
        <v>32</v>
      </c>
      <c r="D40">
        <v>93.2</v>
      </c>
      <c r="E40">
        <v>72.4</v>
      </c>
      <c r="F40">
        <v>83</v>
      </c>
    </row>
    <row r="41" spans="1:6">
      <c r="A41" t="s">
        <v>48</v>
      </c>
      <c r="B41">
        <v>60.2</v>
      </c>
      <c r="C41">
        <v>79.2</v>
      </c>
      <c r="D41">
        <v>93.2</v>
      </c>
      <c r="E41">
        <v>69.2</v>
      </c>
      <c r="F41">
        <v>69</v>
      </c>
    </row>
    <row r="42" spans="1:6">
      <c r="A42" t="s">
        <v>49</v>
      </c>
      <c r="B42">
        <v>60.2</v>
      </c>
      <c r="C42">
        <v>80.4</v>
      </c>
      <c r="D42">
        <v>94</v>
      </c>
      <c r="E42">
        <v>49.6</v>
      </c>
      <c r="F42">
        <v>86</v>
      </c>
    </row>
    <row r="43" spans="1:6">
      <c r="A43" t="s">
        <v>50</v>
      </c>
      <c r="B43">
        <v>63</v>
      </c>
      <c r="C43">
        <v>85.4</v>
      </c>
      <c r="D43">
        <v>92.6</v>
      </c>
      <c r="E43">
        <v>81.2</v>
      </c>
      <c r="F43">
        <v>82.2</v>
      </c>
    </row>
    <row r="44" spans="1:6">
      <c r="A44" t="s">
        <v>51</v>
      </c>
      <c r="B44">
        <v>65.2</v>
      </c>
      <c r="C44">
        <v>72.4</v>
      </c>
      <c r="D44">
        <v>92.6</v>
      </c>
      <c r="E44">
        <v>81.2</v>
      </c>
      <c r="F44">
        <v>82.4</v>
      </c>
    </row>
    <row r="45" spans="1:6">
      <c r="A45" t="s">
        <v>54</v>
      </c>
      <c r="B45">
        <v>0</v>
      </c>
      <c r="C45">
        <v>62</v>
      </c>
      <c r="D45">
        <v>92.6</v>
      </c>
      <c r="E45">
        <v>62.4</v>
      </c>
      <c r="F45">
        <v>82.4</v>
      </c>
    </row>
    <row r="46" spans="1:6">
      <c r="A46" t="s">
        <v>52</v>
      </c>
      <c r="B46">
        <v>26.6</v>
      </c>
      <c r="C46">
        <v>66.8</v>
      </c>
      <c r="D46">
        <v>87.6</v>
      </c>
      <c r="E46">
        <v>49.6</v>
      </c>
      <c r="F46">
        <v>83</v>
      </c>
    </row>
    <row r="47" spans="1:6">
      <c r="A47" t="s">
        <v>53</v>
      </c>
      <c r="B47">
        <v>63.8</v>
      </c>
      <c r="C47">
        <v>79.2</v>
      </c>
      <c r="D47">
        <v>93.2</v>
      </c>
      <c r="E47">
        <v>81.2</v>
      </c>
      <c r="F47">
        <v>86</v>
      </c>
    </row>
    <row r="48" spans="1:6">
      <c r="A48" t="s">
        <v>55</v>
      </c>
      <c r="B48">
        <v>56.4</v>
      </c>
      <c r="C48">
        <v>77.8</v>
      </c>
      <c r="D48">
        <v>90</v>
      </c>
      <c r="E48">
        <v>69.2</v>
      </c>
      <c r="F48">
        <v>79</v>
      </c>
    </row>
    <row r="49" spans="1:6">
      <c r="A49" s="2" t="s">
        <v>341</v>
      </c>
      <c r="B49" s="2" t="s">
        <v>346</v>
      </c>
      <c r="C49" s="2" t="s">
        <v>347</v>
      </c>
      <c r="D49" s="2" t="s">
        <v>348</v>
      </c>
      <c r="E49" s="2" t="s">
        <v>349</v>
      </c>
      <c r="F49" s="2" t="s">
        <v>350</v>
      </c>
    </row>
    <row r="50" spans="1:6">
      <c r="A50" t="s">
        <v>20</v>
      </c>
      <c r="B50">
        <v>63.6</v>
      </c>
      <c r="C50">
        <v>89.8</v>
      </c>
      <c r="D50">
        <v>88.8</v>
      </c>
      <c r="E50">
        <v>91.6</v>
      </c>
      <c r="F50">
        <v>88.6</v>
      </c>
    </row>
    <row r="51" spans="1:6">
      <c r="A51" t="s">
        <v>21</v>
      </c>
      <c r="B51">
        <v>82.6</v>
      </c>
      <c r="C51">
        <v>75.6</v>
      </c>
      <c r="D51">
        <v>91.6</v>
      </c>
      <c r="E51">
        <v>85.2</v>
      </c>
      <c r="F51">
        <v>86</v>
      </c>
    </row>
    <row r="52" spans="1:6">
      <c r="A52" t="s">
        <v>22</v>
      </c>
      <c r="B52">
        <v>89.8</v>
      </c>
      <c r="C52">
        <v>44.6</v>
      </c>
      <c r="D52">
        <v>88</v>
      </c>
      <c r="E52">
        <v>46</v>
      </c>
      <c r="F52">
        <v>75.4</v>
      </c>
    </row>
    <row r="53" spans="1:6">
      <c r="A53" t="s">
        <v>23</v>
      </c>
      <c r="B53">
        <v>88.8</v>
      </c>
      <c r="C53">
        <v>81.4</v>
      </c>
      <c r="D53">
        <v>54</v>
      </c>
      <c r="E53">
        <v>91.6</v>
      </c>
      <c r="F53">
        <v>88.4</v>
      </c>
    </row>
    <row r="54" spans="1:6">
      <c r="A54" t="s">
        <v>24</v>
      </c>
      <c r="B54">
        <v>86.6</v>
      </c>
      <c r="C54">
        <v>87.2</v>
      </c>
      <c r="D54">
        <v>93</v>
      </c>
      <c r="E54">
        <v>84.8</v>
      </c>
      <c r="F54">
        <v>76.8</v>
      </c>
    </row>
    <row r="55" spans="1:6">
      <c r="A55" t="s">
        <v>25</v>
      </c>
      <c r="B55">
        <v>87</v>
      </c>
      <c r="C55">
        <v>91</v>
      </c>
      <c r="D55">
        <v>92.4</v>
      </c>
      <c r="E55">
        <v>88.8</v>
      </c>
      <c r="F55">
        <v>90.6</v>
      </c>
    </row>
    <row r="56" spans="1:6">
      <c r="A56" t="s">
        <v>26</v>
      </c>
      <c r="B56">
        <v>89.4</v>
      </c>
      <c r="C56">
        <v>88</v>
      </c>
      <c r="D56">
        <v>93.6</v>
      </c>
      <c r="E56">
        <v>88.8</v>
      </c>
      <c r="F56">
        <v>76.8</v>
      </c>
    </row>
    <row r="57" spans="1:6">
      <c r="A57" t="s">
        <v>27</v>
      </c>
      <c r="B57">
        <v>89.4</v>
      </c>
      <c r="C57">
        <v>91</v>
      </c>
      <c r="D57">
        <v>93</v>
      </c>
      <c r="E57">
        <v>91.6</v>
      </c>
      <c r="F57">
        <v>84.2</v>
      </c>
    </row>
    <row r="58" spans="1:6">
      <c r="A58" t="s">
        <v>28</v>
      </c>
      <c r="B58">
        <v>87.8</v>
      </c>
      <c r="C58">
        <v>92</v>
      </c>
      <c r="D58">
        <v>93.6</v>
      </c>
      <c r="E58">
        <v>93.4</v>
      </c>
      <c r="F58">
        <v>89</v>
      </c>
    </row>
    <row r="59" spans="1:6">
      <c r="A59" t="s">
        <v>29</v>
      </c>
      <c r="B59">
        <v>8</v>
      </c>
      <c r="C59">
        <v>83.4</v>
      </c>
      <c r="D59">
        <v>65.6</v>
      </c>
      <c r="E59">
        <v>21</v>
      </c>
      <c r="F59">
        <v>88.2</v>
      </c>
    </row>
    <row r="60" spans="1:6">
      <c r="A60" t="s">
        <v>30</v>
      </c>
      <c r="B60">
        <v>89</v>
      </c>
      <c r="C60">
        <v>90.8</v>
      </c>
      <c r="D60">
        <v>93</v>
      </c>
      <c r="E60">
        <v>84.8</v>
      </c>
      <c r="F60">
        <v>89</v>
      </c>
    </row>
    <row r="61" spans="1:6">
      <c r="A61" t="s">
        <v>31</v>
      </c>
      <c r="B61">
        <v>86.6</v>
      </c>
      <c r="C61">
        <v>82.2</v>
      </c>
      <c r="D61">
        <v>94</v>
      </c>
      <c r="E61">
        <v>92</v>
      </c>
      <c r="F61">
        <v>76.8</v>
      </c>
    </row>
    <row r="62" spans="1:6">
      <c r="A62" t="s">
        <v>32</v>
      </c>
      <c r="B62">
        <v>75.4</v>
      </c>
      <c r="C62">
        <v>82.2</v>
      </c>
      <c r="D62">
        <v>93</v>
      </c>
      <c r="E62">
        <v>88.8</v>
      </c>
      <c r="F62">
        <v>88.2</v>
      </c>
    </row>
    <row r="63" spans="1:6">
      <c r="A63" t="s">
        <v>33</v>
      </c>
      <c r="B63">
        <v>75.4</v>
      </c>
      <c r="C63">
        <v>84</v>
      </c>
      <c r="D63">
        <v>93</v>
      </c>
      <c r="E63">
        <v>89</v>
      </c>
      <c r="F63">
        <v>89.8</v>
      </c>
    </row>
    <row r="64" spans="1:6">
      <c r="A64" t="s">
        <v>34</v>
      </c>
      <c r="B64">
        <v>85.8</v>
      </c>
      <c r="C64">
        <v>87.2</v>
      </c>
      <c r="D64">
        <v>89.2</v>
      </c>
      <c r="E64">
        <v>79</v>
      </c>
      <c r="F64">
        <v>88</v>
      </c>
    </row>
    <row r="65" spans="1:6">
      <c r="A65" t="s">
        <v>35</v>
      </c>
      <c r="B65">
        <v>21</v>
      </c>
      <c r="C65">
        <v>49.4</v>
      </c>
      <c r="D65">
        <v>90.4</v>
      </c>
      <c r="E65">
        <v>79.6</v>
      </c>
      <c r="F65">
        <v>86.4</v>
      </c>
    </row>
    <row r="66" spans="1:6">
      <c r="A66" t="s">
        <v>36</v>
      </c>
      <c r="B66">
        <v>85.6</v>
      </c>
      <c r="C66">
        <v>70</v>
      </c>
      <c r="D66">
        <v>86.8</v>
      </c>
      <c r="E66">
        <v>52.6</v>
      </c>
      <c r="F66">
        <v>84.8</v>
      </c>
    </row>
    <row r="67" spans="1:6">
      <c r="A67" t="s">
        <v>37</v>
      </c>
      <c r="B67">
        <v>89.4</v>
      </c>
      <c r="C67">
        <v>91.8</v>
      </c>
      <c r="D67">
        <v>93.6</v>
      </c>
      <c r="E67">
        <v>85.2</v>
      </c>
      <c r="F67">
        <v>84.2</v>
      </c>
    </row>
    <row r="68" spans="1:6">
      <c r="A68" t="s">
        <v>38</v>
      </c>
      <c r="B68">
        <v>93.6</v>
      </c>
      <c r="C68">
        <v>93.4</v>
      </c>
      <c r="D68">
        <v>94</v>
      </c>
      <c r="E68">
        <v>86.8</v>
      </c>
      <c r="F68">
        <v>94.4</v>
      </c>
    </row>
    <row r="69" spans="1:6">
      <c r="A69" t="s">
        <v>39</v>
      </c>
      <c r="B69">
        <v>19.8</v>
      </c>
      <c r="C69">
        <v>45.2</v>
      </c>
      <c r="D69">
        <v>93</v>
      </c>
      <c r="E69">
        <v>81</v>
      </c>
      <c r="F69">
        <v>83.8</v>
      </c>
    </row>
    <row r="70" spans="1:6">
      <c r="A70" t="s">
        <v>40</v>
      </c>
      <c r="B70">
        <v>80.2</v>
      </c>
      <c r="C70">
        <v>80.8</v>
      </c>
      <c r="D70">
        <v>92</v>
      </c>
      <c r="E70">
        <v>88.4</v>
      </c>
      <c r="F70">
        <v>85.6</v>
      </c>
    </row>
    <row r="71" spans="1:6">
      <c r="A71" t="s">
        <v>41</v>
      </c>
      <c r="B71">
        <v>90</v>
      </c>
      <c r="C71">
        <v>51.8</v>
      </c>
      <c r="D71">
        <v>37.4</v>
      </c>
      <c r="E71">
        <v>45.6</v>
      </c>
      <c r="F71">
        <v>29.6</v>
      </c>
    </row>
    <row r="72" spans="1:6">
      <c r="A72" t="s">
        <v>42</v>
      </c>
      <c r="B72">
        <v>90</v>
      </c>
      <c r="C72">
        <v>78.8</v>
      </c>
      <c r="D72">
        <v>95</v>
      </c>
      <c r="E72">
        <v>81.2</v>
      </c>
      <c r="F72">
        <v>85.2</v>
      </c>
    </row>
    <row r="73" spans="1:6">
      <c r="A73" t="s">
        <v>43</v>
      </c>
      <c r="B73">
        <v>82.2</v>
      </c>
      <c r="C73">
        <v>23.8</v>
      </c>
      <c r="D73">
        <v>64.6</v>
      </c>
      <c r="E73">
        <v>86.8</v>
      </c>
      <c r="F73">
        <v>85</v>
      </c>
    </row>
    <row r="74" spans="1:6">
      <c r="A74" t="s">
        <v>44</v>
      </c>
      <c r="B74">
        <v>91.6</v>
      </c>
      <c r="C74">
        <v>92.4</v>
      </c>
      <c r="D74">
        <v>93</v>
      </c>
      <c r="E74">
        <v>87.6</v>
      </c>
      <c r="F74">
        <v>85.2</v>
      </c>
    </row>
    <row r="75" spans="1:6">
      <c r="A75" t="s">
        <v>46</v>
      </c>
      <c r="B75">
        <v>0</v>
      </c>
      <c r="C75">
        <v>15.4</v>
      </c>
      <c r="D75">
        <v>53.6</v>
      </c>
      <c r="E75">
        <v>84.2</v>
      </c>
      <c r="F75">
        <v>84.6</v>
      </c>
    </row>
    <row r="76" spans="1:6">
      <c r="A76" t="s">
        <v>45</v>
      </c>
      <c r="B76">
        <v>23</v>
      </c>
      <c r="C76">
        <v>73.4</v>
      </c>
      <c r="D76">
        <v>87.6</v>
      </c>
      <c r="E76">
        <v>84.2</v>
      </c>
      <c r="F76">
        <v>93</v>
      </c>
    </row>
    <row r="77" spans="1:6">
      <c r="A77" t="s">
        <v>47</v>
      </c>
      <c r="B77">
        <v>23</v>
      </c>
      <c r="C77">
        <v>46.4</v>
      </c>
      <c r="D77">
        <v>94</v>
      </c>
      <c r="E77">
        <v>86.4</v>
      </c>
      <c r="F77">
        <v>59.2</v>
      </c>
    </row>
    <row r="78" spans="1:6">
      <c r="A78" t="s">
        <v>48</v>
      </c>
      <c r="B78">
        <v>82.4</v>
      </c>
      <c r="C78">
        <v>80.8</v>
      </c>
      <c r="D78">
        <v>93</v>
      </c>
      <c r="E78">
        <v>81.4</v>
      </c>
      <c r="F78">
        <v>85.6</v>
      </c>
    </row>
    <row r="79" spans="1:6">
      <c r="A79" t="s">
        <v>49</v>
      </c>
      <c r="B79">
        <v>82.4</v>
      </c>
      <c r="C79">
        <v>80</v>
      </c>
      <c r="D79">
        <v>93</v>
      </c>
      <c r="E79">
        <v>66.4</v>
      </c>
      <c r="F79">
        <v>86.6</v>
      </c>
    </row>
    <row r="80" spans="1:6">
      <c r="A80" t="s">
        <v>50</v>
      </c>
      <c r="B80">
        <v>91.6</v>
      </c>
      <c r="C80">
        <v>93.8</v>
      </c>
      <c r="D80">
        <v>93</v>
      </c>
      <c r="E80">
        <v>89.2</v>
      </c>
      <c r="F80">
        <v>85</v>
      </c>
    </row>
    <row r="81" spans="1:6">
      <c r="A81" t="s">
        <v>51</v>
      </c>
      <c r="B81">
        <v>75.2</v>
      </c>
      <c r="C81">
        <v>82.6</v>
      </c>
      <c r="D81">
        <v>93</v>
      </c>
      <c r="E81">
        <v>90.6</v>
      </c>
      <c r="F81">
        <v>85.6</v>
      </c>
    </row>
    <row r="82" spans="1:6">
      <c r="A82" t="s">
        <v>54</v>
      </c>
      <c r="B82">
        <v>0</v>
      </c>
      <c r="C82">
        <v>76</v>
      </c>
      <c r="D82">
        <v>93</v>
      </c>
      <c r="E82">
        <v>86.4</v>
      </c>
      <c r="F82">
        <v>59.2</v>
      </c>
    </row>
    <row r="83" spans="1:6">
      <c r="A83" t="s">
        <v>52</v>
      </c>
      <c r="B83">
        <v>36</v>
      </c>
      <c r="C83">
        <v>74.4</v>
      </c>
      <c r="D83">
        <v>91</v>
      </c>
      <c r="E83">
        <v>66.4</v>
      </c>
      <c r="F83">
        <v>85.2</v>
      </c>
    </row>
    <row r="84" spans="1:6">
      <c r="A84" t="s">
        <v>53</v>
      </c>
      <c r="B84">
        <v>91.6</v>
      </c>
      <c r="C84">
        <v>93.4</v>
      </c>
      <c r="D84">
        <v>94</v>
      </c>
      <c r="E84">
        <v>90.6</v>
      </c>
      <c r="F84">
        <v>86.6</v>
      </c>
    </row>
    <row r="85" spans="1:6">
      <c r="A85" t="s">
        <v>55</v>
      </c>
      <c r="B85">
        <v>84.8</v>
      </c>
      <c r="C85">
        <v>81</v>
      </c>
      <c r="D85">
        <v>92</v>
      </c>
      <c r="E85">
        <v>79</v>
      </c>
      <c r="F85">
        <v>81</v>
      </c>
    </row>
    <row r="86" spans="1:6">
      <c r="A86" s="2" t="s">
        <v>342</v>
      </c>
      <c r="B86" s="2" t="s">
        <v>346</v>
      </c>
      <c r="C86" s="2" t="s">
        <v>347</v>
      </c>
      <c r="D86" s="2" t="s">
        <v>348</v>
      </c>
      <c r="E86" s="2" t="s">
        <v>349</v>
      </c>
      <c r="F86" s="2" t="s">
        <v>350</v>
      </c>
    </row>
    <row r="87" spans="1:6">
      <c r="A87" t="s">
        <v>20</v>
      </c>
      <c r="B87">
        <v>52.6</v>
      </c>
      <c r="C87">
        <v>92.8</v>
      </c>
      <c r="D87">
        <v>85.2</v>
      </c>
      <c r="E87">
        <v>86.8</v>
      </c>
      <c r="F87">
        <v>91.4</v>
      </c>
    </row>
    <row r="88" spans="1:6">
      <c r="A88" t="s">
        <v>21</v>
      </c>
      <c r="B88">
        <v>79</v>
      </c>
      <c r="C88">
        <v>65.8</v>
      </c>
      <c r="D88">
        <v>81.4</v>
      </c>
      <c r="E88">
        <v>86.2</v>
      </c>
      <c r="F88">
        <v>88.4</v>
      </c>
    </row>
    <row r="89" spans="1:6">
      <c r="A89" t="s">
        <v>22</v>
      </c>
      <c r="B89">
        <v>93.8</v>
      </c>
      <c r="C89">
        <v>37.2</v>
      </c>
      <c r="D89">
        <v>72.6</v>
      </c>
      <c r="E89">
        <v>41</v>
      </c>
      <c r="F89">
        <v>78.6</v>
      </c>
    </row>
    <row r="90" spans="1:6">
      <c r="A90" t="s">
        <v>23</v>
      </c>
      <c r="B90">
        <v>93.4</v>
      </c>
      <c r="C90">
        <v>81</v>
      </c>
      <c r="D90">
        <v>34.2</v>
      </c>
      <c r="E90">
        <v>89.8</v>
      </c>
      <c r="F90">
        <v>88.4</v>
      </c>
    </row>
    <row r="91" spans="1:6">
      <c r="A91" t="s">
        <v>24</v>
      </c>
      <c r="B91">
        <v>79</v>
      </c>
      <c r="C91">
        <v>90.6</v>
      </c>
      <c r="D91">
        <v>90.2</v>
      </c>
      <c r="E91">
        <v>86.2</v>
      </c>
      <c r="F91">
        <v>80.6</v>
      </c>
    </row>
    <row r="92" spans="1:6">
      <c r="A92" t="s">
        <v>25</v>
      </c>
      <c r="B92">
        <v>87.8</v>
      </c>
      <c r="C92">
        <v>89.2</v>
      </c>
      <c r="D92">
        <v>87</v>
      </c>
      <c r="E92">
        <v>89</v>
      </c>
      <c r="F92">
        <v>94.6</v>
      </c>
    </row>
    <row r="93" spans="1:6">
      <c r="A93" t="s">
        <v>26</v>
      </c>
      <c r="B93">
        <v>89</v>
      </c>
      <c r="C93">
        <v>88.4</v>
      </c>
      <c r="D93">
        <v>85.2</v>
      </c>
      <c r="E93">
        <v>89</v>
      </c>
      <c r="F93">
        <v>80.6</v>
      </c>
    </row>
    <row r="94" spans="1:6">
      <c r="A94" t="s">
        <v>27</v>
      </c>
      <c r="B94">
        <v>85.2</v>
      </c>
      <c r="C94">
        <v>92.8</v>
      </c>
      <c r="D94">
        <v>90.2</v>
      </c>
      <c r="E94">
        <v>89.8</v>
      </c>
      <c r="F94">
        <v>86</v>
      </c>
    </row>
    <row r="95" spans="1:6">
      <c r="A95" t="s">
        <v>28</v>
      </c>
      <c r="B95">
        <v>0</v>
      </c>
      <c r="C95">
        <v>92.2</v>
      </c>
      <c r="D95">
        <v>89.4</v>
      </c>
      <c r="E95">
        <v>90.4</v>
      </c>
      <c r="F95">
        <v>96.8</v>
      </c>
    </row>
    <row r="96" spans="1:6">
      <c r="A96" t="s">
        <v>29</v>
      </c>
      <c r="B96">
        <v>81.6</v>
      </c>
      <c r="C96">
        <v>76.6</v>
      </c>
      <c r="D96">
        <v>44.6</v>
      </c>
      <c r="E96">
        <v>24.4</v>
      </c>
      <c r="F96">
        <v>85.8</v>
      </c>
    </row>
    <row r="97" spans="1:6">
      <c r="A97" t="s">
        <v>30</v>
      </c>
      <c r="B97">
        <v>33</v>
      </c>
      <c r="C97">
        <v>90.6</v>
      </c>
      <c r="D97">
        <v>89.8</v>
      </c>
      <c r="E97">
        <v>86.2</v>
      </c>
      <c r="F97">
        <v>80.6</v>
      </c>
    </row>
    <row r="98" spans="1:6">
      <c r="A98" t="s">
        <v>31</v>
      </c>
      <c r="B98">
        <v>79.6</v>
      </c>
      <c r="C98">
        <v>76.6</v>
      </c>
      <c r="D98">
        <v>92.6</v>
      </c>
      <c r="E98">
        <v>92</v>
      </c>
      <c r="F98">
        <v>90.2</v>
      </c>
    </row>
    <row r="99" spans="1:6">
      <c r="A99" t="s">
        <v>32</v>
      </c>
      <c r="B99">
        <v>30</v>
      </c>
      <c r="C99">
        <v>76.2</v>
      </c>
      <c r="D99">
        <v>89.4</v>
      </c>
      <c r="E99">
        <v>88.6</v>
      </c>
      <c r="F99">
        <v>89.4</v>
      </c>
    </row>
    <row r="100" spans="1:6">
      <c r="A100" t="s">
        <v>33</v>
      </c>
      <c r="B100">
        <v>79</v>
      </c>
      <c r="C100">
        <v>77</v>
      </c>
      <c r="D100">
        <v>87.4</v>
      </c>
      <c r="E100">
        <v>84.8</v>
      </c>
      <c r="F100">
        <v>87</v>
      </c>
    </row>
    <row r="101" spans="1:6">
      <c r="A101" t="s">
        <v>34</v>
      </c>
      <c r="B101">
        <v>82.8</v>
      </c>
      <c r="C101">
        <v>92.8</v>
      </c>
      <c r="D101">
        <v>83.4</v>
      </c>
      <c r="E101">
        <v>76.2</v>
      </c>
      <c r="F101">
        <v>81.2</v>
      </c>
    </row>
    <row r="102" spans="1:6">
      <c r="A102" t="s">
        <v>35</v>
      </c>
      <c r="B102">
        <v>79</v>
      </c>
      <c r="C102">
        <v>47.2</v>
      </c>
      <c r="D102">
        <v>80.6</v>
      </c>
      <c r="E102">
        <v>78.4</v>
      </c>
      <c r="F102">
        <v>85.6</v>
      </c>
    </row>
    <row r="103" spans="1:6">
      <c r="A103" t="s">
        <v>36</v>
      </c>
      <c r="B103">
        <v>85.2</v>
      </c>
      <c r="C103">
        <v>71</v>
      </c>
      <c r="D103">
        <v>77.8</v>
      </c>
      <c r="E103">
        <v>46.6</v>
      </c>
      <c r="F103">
        <v>81.2</v>
      </c>
    </row>
    <row r="104" spans="1:6">
      <c r="A104" t="s">
        <v>37</v>
      </c>
      <c r="B104">
        <v>85.2</v>
      </c>
      <c r="C104">
        <v>92.8</v>
      </c>
      <c r="D104">
        <v>91.2</v>
      </c>
      <c r="E104">
        <v>86.2</v>
      </c>
      <c r="F104">
        <v>85.6</v>
      </c>
    </row>
    <row r="105" spans="1:6">
      <c r="A105" t="s">
        <v>38</v>
      </c>
      <c r="B105">
        <v>93</v>
      </c>
      <c r="C105">
        <v>91.4</v>
      </c>
      <c r="D105">
        <v>94</v>
      </c>
      <c r="E105">
        <v>87.6</v>
      </c>
      <c r="F105">
        <v>94</v>
      </c>
    </row>
    <row r="106" spans="1:6">
      <c r="A106" t="s">
        <v>39</v>
      </c>
      <c r="B106">
        <v>3</v>
      </c>
      <c r="C106">
        <v>25.4</v>
      </c>
      <c r="D106">
        <v>93</v>
      </c>
      <c r="E106">
        <v>85.8</v>
      </c>
      <c r="F106">
        <v>83.2</v>
      </c>
    </row>
    <row r="107" spans="1:6">
      <c r="A107" t="s">
        <v>40</v>
      </c>
      <c r="B107">
        <v>25.2</v>
      </c>
      <c r="C107">
        <v>69.4</v>
      </c>
      <c r="D107">
        <v>90.8</v>
      </c>
      <c r="E107">
        <v>88.2</v>
      </c>
      <c r="F107">
        <v>85.8</v>
      </c>
    </row>
    <row r="108" spans="1:6">
      <c r="A108" t="s">
        <v>41</v>
      </c>
      <c r="B108">
        <v>89.6</v>
      </c>
      <c r="C108">
        <v>53.4</v>
      </c>
      <c r="D108">
        <v>22.6</v>
      </c>
      <c r="E108">
        <v>39.8</v>
      </c>
      <c r="F108">
        <v>25</v>
      </c>
    </row>
    <row r="109" spans="1:6">
      <c r="A109" t="s">
        <v>42</v>
      </c>
      <c r="B109">
        <v>89.6</v>
      </c>
      <c r="C109">
        <v>64</v>
      </c>
      <c r="D109">
        <v>97</v>
      </c>
      <c r="E109">
        <v>82.8</v>
      </c>
      <c r="F109">
        <v>85.4</v>
      </c>
    </row>
    <row r="110" spans="1:6">
      <c r="A110" t="s">
        <v>43</v>
      </c>
      <c r="B110">
        <v>67.8</v>
      </c>
      <c r="C110">
        <v>7.2</v>
      </c>
      <c r="D110">
        <v>33.8</v>
      </c>
      <c r="E110">
        <v>88.6</v>
      </c>
      <c r="F110">
        <v>85</v>
      </c>
    </row>
    <row r="111" spans="1:6">
      <c r="A111" t="s">
        <v>44</v>
      </c>
      <c r="B111">
        <v>94.2</v>
      </c>
      <c r="C111">
        <v>92.4</v>
      </c>
      <c r="D111">
        <v>90.8</v>
      </c>
      <c r="E111">
        <v>85.4</v>
      </c>
      <c r="F111">
        <v>85.8</v>
      </c>
    </row>
    <row r="112" spans="1:6">
      <c r="A112" t="s">
        <v>46</v>
      </c>
      <c r="B112">
        <v>0</v>
      </c>
      <c r="C112">
        <v>9.2</v>
      </c>
      <c r="D112">
        <v>35.8</v>
      </c>
      <c r="E112">
        <v>81.4</v>
      </c>
      <c r="F112">
        <v>84.4</v>
      </c>
    </row>
    <row r="113" spans="1:6">
      <c r="A113" t="s">
        <v>45</v>
      </c>
      <c r="B113">
        <v>17.6</v>
      </c>
      <c r="C113">
        <v>54</v>
      </c>
      <c r="D113">
        <v>81.6</v>
      </c>
      <c r="E113">
        <v>81.4</v>
      </c>
      <c r="F113">
        <v>94</v>
      </c>
    </row>
    <row r="114" spans="1:6">
      <c r="A114" t="s">
        <v>47</v>
      </c>
      <c r="B114">
        <v>17.6</v>
      </c>
      <c r="C114">
        <v>20.6</v>
      </c>
      <c r="D114">
        <v>93.4</v>
      </c>
      <c r="E114">
        <v>84.2</v>
      </c>
      <c r="F114">
        <v>52.2</v>
      </c>
    </row>
    <row r="115" spans="1:6">
      <c r="A115" t="s">
        <v>48</v>
      </c>
      <c r="B115">
        <v>76.8</v>
      </c>
      <c r="C115">
        <v>69.4</v>
      </c>
      <c r="D115">
        <v>93.4</v>
      </c>
      <c r="E115">
        <v>72.6</v>
      </c>
      <c r="F115">
        <v>85.8</v>
      </c>
    </row>
    <row r="116" spans="1:6">
      <c r="A116" t="s">
        <v>49</v>
      </c>
      <c r="B116">
        <v>76.8</v>
      </c>
      <c r="C116">
        <v>86.2</v>
      </c>
      <c r="D116">
        <v>87.4</v>
      </c>
      <c r="E116">
        <v>53</v>
      </c>
      <c r="F116">
        <v>88.2</v>
      </c>
    </row>
    <row r="117" spans="1:6">
      <c r="A117" t="s">
        <v>50</v>
      </c>
      <c r="B117">
        <v>94.2</v>
      </c>
      <c r="C117">
        <v>91</v>
      </c>
      <c r="D117">
        <v>93</v>
      </c>
      <c r="E117">
        <v>90.6</v>
      </c>
      <c r="F117">
        <v>85</v>
      </c>
    </row>
    <row r="118" spans="1:6">
      <c r="A118" t="s">
        <v>51</v>
      </c>
      <c r="B118">
        <v>75.6</v>
      </c>
      <c r="C118">
        <v>83</v>
      </c>
      <c r="D118">
        <v>90.8</v>
      </c>
      <c r="E118">
        <v>91.4</v>
      </c>
      <c r="F118">
        <v>89.4</v>
      </c>
    </row>
    <row r="119" spans="1:6">
      <c r="A119" t="s">
        <v>54</v>
      </c>
      <c r="B119">
        <v>28.8</v>
      </c>
      <c r="C119">
        <v>58.6</v>
      </c>
      <c r="D119">
        <v>91.2</v>
      </c>
      <c r="E119">
        <v>84.2</v>
      </c>
      <c r="F119">
        <v>52.2</v>
      </c>
    </row>
    <row r="120" spans="1:6">
      <c r="A120" t="s">
        <v>52</v>
      </c>
      <c r="B120">
        <v>28.8</v>
      </c>
      <c r="C120">
        <v>80.6</v>
      </c>
      <c r="D120">
        <v>84.2</v>
      </c>
      <c r="E120">
        <v>53</v>
      </c>
      <c r="F120">
        <v>85.8</v>
      </c>
    </row>
    <row r="121" spans="1:6">
      <c r="A121" t="s">
        <v>53</v>
      </c>
      <c r="B121">
        <v>93</v>
      </c>
      <c r="C121">
        <v>91.2</v>
      </c>
      <c r="D121">
        <v>90.8</v>
      </c>
      <c r="E121">
        <v>91.4</v>
      </c>
      <c r="F121">
        <v>86.4</v>
      </c>
    </row>
    <row r="122" spans="1:6">
      <c r="A122" t="s">
        <v>55</v>
      </c>
      <c r="B122">
        <v>88</v>
      </c>
      <c r="C122">
        <v>71.4</v>
      </c>
      <c r="D122">
        <v>85.2</v>
      </c>
      <c r="E122">
        <v>81.4</v>
      </c>
      <c r="F122">
        <v>82.6</v>
      </c>
    </row>
    <row r="123" spans="1:6">
      <c r="A123" s="2" t="s">
        <v>343</v>
      </c>
      <c r="B123" s="2" t="s">
        <v>346</v>
      </c>
      <c r="C123" s="2" t="s">
        <v>347</v>
      </c>
      <c r="D123" s="2" t="s">
        <v>348</v>
      </c>
      <c r="E123" s="2" t="s">
        <v>349</v>
      </c>
      <c r="F123" s="2" t="s">
        <v>350</v>
      </c>
    </row>
    <row r="124" spans="1:6">
      <c r="A124" t="s">
        <v>20</v>
      </c>
      <c r="B124">
        <v>58.4</v>
      </c>
      <c r="C124">
        <v>93</v>
      </c>
      <c r="D124">
        <v>86.2</v>
      </c>
      <c r="E124">
        <v>92</v>
      </c>
      <c r="F124">
        <v>91.4</v>
      </c>
    </row>
    <row r="125" spans="1:6">
      <c r="A125" t="s">
        <v>21</v>
      </c>
      <c r="B125">
        <v>81.1</v>
      </c>
      <c r="C125">
        <v>75.7</v>
      </c>
      <c r="D125">
        <v>88</v>
      </c>
      <c r="E125">
        <v>88.6</v>
      </c>
      <c r="F125">
        <v>88.6</v>
      </c>
    </row>
    <row r="126" spans="1:6">
      <c r="A126" t="s">
        <v>22</v>
      </c>
      <c r="B126">
        <v>89.1</v>
      </c>
      <c r="C126">
        <v>40.4</v>
      </c>
      <c r="D126">
        <v>85.6</v>
      </c>
      <c r="E126">
        <v>51.4</v>
      </c>
      <c r="F126">
        <v>82.4</v>
      </c>
    </row>
    <row r="127" spans="1:6">
      <c r="A127" t="s">
        <v>23</v>
      </c>
      <c r="B127">
        <v>89.4</v>
      </c>
      <c r="C127">
        <v>70.3</v>
      </c>
      <c r="D127">
        <v>44.6</v>
      </c>
      <c r="E127">
        <v>93</v>
      </c>
      <c r="F127">
        <v>90.2</v>
      </c>
    </row>
    <row r="128" spans="1:6">
      <c r="A128" t="s">
        <v>24</v>
      </c>
      <c r="B128">
        <v>83.4</v>
      </c>
      <c r="C128">
        <v>91.4</v>
      </c>
      <c r="D128">
        <v>90.4</v>
      </c>
      <c r="E128">
        <v>88.6</v>
      </c>
      <c r="F128">
        <v>83.4</v>
      </c>
    </row>
    <row r="129" spans="1:6">
      <c r="A129" t="s">
        <v>25</v>
      </c>
      <c r="B129">
        <v>87.1</v>
      </c>
      <c r="C129">
        <v>92.2</v>
      </c>
      <c r="D129">
        <v>90.6</v>
      </c>
      <c r="E129">
        <v>92.4</v>
      </c>
      <c r="F129">
        <v>94.2</v>
      </c>
    </row>
    <row r="130" spans="1:6">
      <c r="A130" t="s">
        <v>26</v>
      </c>
      <c r="B130">
        <v>86.3</v>
      </c>
      <c r="C130">
        <v>90.4</v>
      </c>
      <c r="D130">
        <v>91.4</v>
      </c>
      <c r="E130">
        <v>92.4</v>
      </c>
      <c r="F130">
        <v>83</v>
      </c>
    </row>
    <row r="131" spans="1:6">
      <c r="A131" t="s">
        <v>27</v>
      </c>
      <c r="B131">
        <v>84.1</v>
      </c>
      <c r="C131">
        <v>92.6</v>
      </c>
      <c r="D131">
        <v>90.4</v>
      </c>
      <c r="E131">
        <v>93</v>
      </c>
      <c r="F131">
        <v>85.2</v>
      </c>
    </row>
    <row r="132" spans="1:6">
      <c r="A132" t="s">
        <v>28</v>
      </c>
      <c r="B132">
        <v>83.1</v>
      </c>
      <c r="C132">
        <v>92.6</v>
      </c>
      <c r="D132">
        <v>89.6</v>
      </c>
      <c r="E132">
        <v>94.4</v>
      </c>
      <c r="F132">
        <v>93.4</v>
      </c>
    </row>
    <row r="133" spans="1:6">
      <c r="A133" t="s">
        <v>29</v>
      </c>
      <c r="B133">
        <v>5</v>
      </c>
      <c r="C133">
        <v>73.4</v>
      </c>
      <c r="D133">
        <v>58</v>
      </c>
      <c r="E133">
        <v>32.6</v>
      </c>
      <c r="F133">
        <v>89</v>
      </c>
    </row>
    <row r="134" spans="1:6">
      <c r="A134" t="s">
        <v>30</v>
      </c>
      <c r="B134">
        <v>86.7</v>
      </c>
      <c r="C134">
        <v>92.8</v>
      </c>
      <c r="D134">
        <v>91.4</v>
      </c>
      <c r="E134">
        <v>88.6</v>
      </c>
      <c r="F134">
        <v>90.2</v>
      </c>
    </row>
    <row r="135" spans="1:6">
      <c r="A135" t="s">
        <v>31</v>
      </c>
      <c r="B135">
        <v>82.4</v>
      </c>
      <c r="C135">
        <v>73.4</v>
      </c>
      <c r="D135">
        <v>91</v>
      </c>
      <c r="E135">
        <v>90</v>
      </c>
      <c r="F135">
        <v>83.4</v>
      </c>
    </row>
    <row r="136" spans="1:6">
      <c r="A136" t="s">
        <v>32</v>
      </c>
      <c r="B136">
        <v>31</v>
      </c>
      <c r="C136">
        <v>73</v>
      </c>
      <c r="D136">
        <v>91.6</v>
      </c>
      <c r="E136">
        <v>91.4</v>
      </c>
      <c r="F136">
        <v>89.4</v>
      </c>
    </row>
    <row r="137" spans="1:6">
      <c r="A137" t="s">
        <v>33</v>
      </c>
      <c r="B137">
        <v>31</v>
      </c>
      <c r="C137">
        <v>73.4</v>
      </c>
      <c r="D137">
        <v>89.4</v>
      </c>
      <c r="E137">
        <v>88.6</v>
      </c>
      <c r="F137">
        <v>92.2</v>
      </c>
    </row>
    <row r="138" spans="1:6">
      <c r="A138" t="s">
        <v>34</v>
      </c>
      <c r="B138">
        <v>76.3</v>
      </c>
      <c r="C138">
        <v>93</v>
      </c>
      <c r="D138">
        <v>89.6</v>
      </c>
      <c r="E138">
        <v>81.4</v>
      </c>
      <c r="F138">
        <v>91</v>
      </c>
    </row>
    <row r="139" spans="1:6">
      <c r="A139" t="s">
        <v>35</v>
      </c>
      <c r="B139">
        <v>24.4</v>
      </c>
      <c r="C139">
        <v>43.4</v>
      </c>
      <c r="D139">
        <v>87.2</v>
      </c>
      <c r="E139">
        <v>81.5</v>
      </c>
      <c r="F139">
        <v>89</v>
      </c>
    </row>
    <row r="140" spans="1:6">
      <c r="A140" t="s">
        <v>36</v>
      </c>
      <c r="B140">
        <v>75.8</v>
      </c>
      <c r="C140">
        <v>68</v>
      </c>
      <c r="D140">
        <v>87.2</v>
      </c>
      <c r="E140">
        <v>61.4</v>
      </c>
      <c r="F140">
        <v>85.4</v>
      </c>
    </row>
    <row r="141" spans="1:6">
      <c r="A141" t="s">
        <v>37</v>
      </c>
      <c r="B141">
        <v>84.1</v>
      </c>
      <c r="C141">
        <v>93</v>
      </c>
      <c r="D141">
        <v>92.2</v>
      </c>
      <c r="E141">
        <v>88.6</v>
      </c>
      <c r="F141">
        <v>83.4</v>
      </c>
    </row>
    <row r="142" spans="1:6">
      <c r="A142" t="s">
        <v>38</v>
      </c>
      <c r="B142">
        <v>90.2</v>
      </c>
      <c r="C142">
        <v>92.2</v>
      </c>
      <c r="D142">
        <v>94</v>
      </c>
      <c r="E142">
        <v>89.2</v>
      </c>
      <c r="F142">
        <v>94.6</v>
      </c>
    </row>
    <row r="143" spans="1:6">
      <c r="A143" t="s">
        <v>39</v>
      </c>
      <c r="B143">
        <v>19</v>
      </c>
      <c r="C143">
        <v>36</v>
      </c>
      <c r="D143">
        <v>91.8</v>
      </c>
      <c r="E143">
        <v>73.2</v>
      </c>
      <c r="F143">
        <v>89.2</v>
      </c>
    </row>
    <row r="144" spans="1:6">
      <c r="A144" t="s">
        <v>40</v>
      </c>
      <c r="B144">
        <v>48.2</v>
      </c>
      <c r="C144">
        <v>75.8</v>
      </c>
      <c r="D144">
        <v>90</v>
      </c>
      <c r="E144">
        <v>89.4</v>
      </c>
      <c r="F144">
        <v>89.2</v>
      </c>
    </row>
    <row r="145" spans="1:6">
      <c r="A145" t="s">
        <v>41</v>
      </c>
      <c r="B145">
        <v>87.2</v>
      </c>
      <c r="C145">
        <v>43.6</v>
      </c>
      <c r="D145">
        <v>36.2</v>
      </c>
      <c r="E145">
        <v>43.6</v>
      </c>
      <c r="F145">
        <v>26.2</v>
      </c>
    </row>
    <row r="146" spans="1:6">
      <c r="A146" t="s">
        <v>42</v>
      </c>
      <c r="B146">
        <v>87.6</v>
      </c>
      <c r="C146">
        <v>78.2</v>
      </c>
      <c r="D146">
        <v>94.2</v>
      </c>
      <c r="E146">
        <v>74.7</v>
      </c>
      <c r="F146">
        <v>89.2</v>
      </c>
    </row>
    <row r="147" spans="1:6">
      <c r="A147" t="s">
        <v>43</v>
      </c>
      <c r="B147">
        <v>73</v>
      </c>
      <c r="C147">
        <v>35.2</v>
      </c>
      <c r="D147">
        <v>51.2</v>
      </c>
      <c r="E147">
        <v>89</v>
      </c>
      <c r="F147">
        <v>85</v>
      </c>
    </row>
    <row r="148" spans="1:6">
      <c r="A148" t="s">
        <v>44</v>
      </c>
      <c r="B148">
        <v>89.8</v>
      </c>
      <c r="C148">
        <v>92.2</v>
      </c>
      <c r="D148">
        <v>89.6</v>
      </c>
      <c r="E148">
        <v>88.2</v>
      </c>
      <c r="F148">
        <v>89.2</v>
      </c>
    </row>
    <row r="149" spans="1:6">
      <c r="A149" t="s">
        <v>46</v>
      </c>
      <c r="B149">
        <v>5</v>
      </c>
      <c r="C149">
        <v>21.8</v>
      </c>
      <c r="D149">
        <v>37.8</v>
      </c>
      <c r="E149">
        <v>89</v>
      </c>
      <c r="F149">
        <v>87.8</v>
      </c>
    </row>
    <row r="150" spans="1:6">
      <c r="A150" t="s">
        <v>45</v>
      </c>
      <c r="B150">
        <v>32.6</v>
      </c>
      <c r="C150">
        <v>74</v>
      </c>
      <c r="D150">
        <v>78.6</v>
      </c>
      <c r="E150">
        <v>88.6</v>
      </c>
      <c r="F150">
        <v>93.4</v>
      </c>
    </row>
    <row r="151" spans="1:6">
      <c r="A151" t="s">
        <v>47</v>
      </c>
      <c r="B151">
        <v>32.6</v>
      </c>
      <c r="C151">
        <v>38.2</v>
      </c>
      <c r="D151">
        <v>91.2</v>
      </c>
      <c r="E151">
        <v>87.8</v>
      </c>
      <c r="F151">
        <v>65.4</v>
      </c>
    </row>
    <row r="152" spans="1:6">
      <c r="A152" t="s">
        <v>48</v>
      </c>
      <c r="B152">
        <v>82.2</v>
      </c>
      <c r="C152">
        <v>75.8</v>
      </c>
      <c r="D152">
        <v>91.4</v>
      </c>
      <c r="E152">
        <v>64.2</v>
      </c>
      <c r="F152">
        <v>87.4</v>
      </c>
    </row>
    <row r="153" spans="1:6">
      <c r="A153" t="s">
        <v>49</v>
      </c>
      <c r="B153">
        <v>82.2</v>
      </c>
      <c r="C153">
        <v>86.2</v>
      </c>
      <c r="D153">
        <v>90</v>
      </c>
      <c r="E153">
        <v>68.6</v>
      </c>
      <c r="F153">
        <v>91</v>
      </c>
    </row>
    <row r="154" spans="1:6">
      <c r="A154" t="s">
        <v>50</v>
      </c>
      <c r="B154">
        <v>89.8</v>
      </c>
      <c r="C154">
        <v>91.8</v>
      </c>
      <c r="D154">
        <v>91.2</v>
      </c>
      <c r="E154">
        <v>90.4</v>
      </c>
      <c r="F154">
        <v>85</v>
      </c>
    </row>
    <row r="155" spans="1:6">
      <c r="A155" t="s">
        <v>51</v>
      </c>
      <c r="B155">
        <v>89.4</v>
      </c>
      <c r="C155">
        <v>88.1</v>
      </c>
      <c r="D155">
        <v>90.2</v>
      </c>
      <c r="E155">
        <v>91.4</v>
      </c>
      <c r="F155">
        <v>89.2</v>
      </c>
    </row>
    <row r="156" spans="1:6">
      <c r="A156" t="s">
        <v>54</v>
      </c>
      <c r="B156">
        <v>5</v>
      </c>
      <c r="C156">
        <v>73.4</v>
      </c>
      <c r="D156">
        <v>91</v>
      </c>
      <c r="E156">
        <v>87.8</v>
      </c>
      <c r="F156">
        <v>65.4</v>
      </c>
    </row>
    <row r="157" spans="1:6">
      <c r="A157" t="s">
        <v>52</v>
      </c>
      <c r="B157">
        <v>42.2</v>
      </c>
      <c r="C157">
        <v>81.7</v>
      </c>
      <c r="D157">
        <v>89.2</v>
      </c>
      <c r="E157">
        <v>68.6</v>
      </c>
      <c r="F157">
        <v>89.2</v>
      </c>
    </row>
    <row r="158" spans="1:6">
      <c r="A158" t="s">
        <v>53</v>
      </c>
      <c r="B158">
        <v>90.2</v>
      </c>
      <c r="C158">
        <v>90.8</v>
      </c>
      <c r="D158">
        <v>91.4</v>
      </c>
      <c r="E158">
        <v>91.4</v>
      </c>
      <c r="F158">
        <v>91</v>
      </c>
    </row>
    <row r="159" spans="1:6">
      <c r="A159" t="s">
        <v>55</v>
      </c>
      <c r="B159">
        <v>87.3</v>
      </c>
      <c r="C159">
        <v>84.2</v>
      </c>
      <c r="D159">
        <v>89.2</v>
      </c>
      <c r="E159">
        <v>76.2</v>
      </c>
      <c r="F159">
        <v>83.8</v>
      </c>
    </row>
    <row r="160" spans="1:6">
      <c r="A160" s="2" t="s">
        <v>344</v>
      </c>
      <c r="B160" s="2" t="s">
        <v>346</v>
      </c>
      <c r="C160" s="2" t="s">
        <v>347</v>
      </c>
      <c r="D160" s="2" t="s">
        <v>348</v>
      </c>
      <c r="E160" s="2" t="s">
        <v>349</v>
      </c>
      <c r="F160" s="2" t="s">
        <v>350</v>
      </c>
    </row>
    <row r="161" spans="1:6">
      <c r="A161" t="s">
        <v>20</v>
      </c>
      <c r="B161">
        <v>49.2</v>
      </c>
      <c r="C161">
        <v>91</v>
      </c>
      <c r="D161">
        <v>87.2</v>
      </c>
      <c r="E161">
        <v>88.2</v>
      </c>
      <c r="F161">
        <v>84.6</v>
      </c>
    </row>
    <row r="162" spans="1:6">
      <c r="A162" t="s">
        <v>21</v>
      </c>
      <c r="B162">
        <v>75.6</v>
      </c>
      <c r="C162">
        <v>56</v>
      </c>
      <c r="D162">
        <v>82.4</v>
      </c>
      <c r="E162">
        <v>81.8</v>
      </c>
      <c r="F162">
        <v>79.4</v>
      </c>
    </row>
    <row r="163" spans="1:6">
      <c r="A163" t="s">
        <v>22</v>
      </c>
      <c r="B163">
        <v>91.8</v>
      </c>
      <c r="C163">
        <v>38</v>
      </c>
      <c r="D163">
        <v>79.6</v>
      </c>
      <c r="E163">
        <v>50.2</v>
      </c>
      <c r="F163">
        <v>67</v>
      </c>
    </row>
    <row r="164" spans="1:6">
      <c r="A164" t="s">
        <v>23</v>
      </c>
      <c r="B164">
        <v>90.8</v>
      </c>
      <c r="C164">
        <v>65.1</v>
      </c>
      <c r="D164">
        <v>33.2</v>
      </c>
      <c r="E164">
        <v>90.6</v>
      </c>
      <c r="F164">
        <v>82.2</v>
      </c>
    </row>
    <row r="165" spans="1:6">
      <c r="A165" t="s">
        <v>24</v>
      </c>
      <c r="B165">
        <v>88</v>
      </c>
      <c r="C165">
        <v>86.8</v>
      </c>
      <c r="D165">
        <v>91.4</v>
      </c>
      <c r="E165">
        <v>80.2</v>
      </c>
      <c r="F165">
        <v>71.8</v>
      </c>
    </row>
    <row r="166" spans="1:6">
      <c r="A166" t="s">
        <v>25</v>
      </c>
      <c r="B166">
        <v>86.2</v>
      </c>
      <c r="C166">
        <v>87</v>
      </c>
      <c r="D166">
        <v>89.6</v>
      </c>
      <c r="E166">
        <v>87.4</v>
      </c>
      <c r="F166">
        <v>90.6</v>
      </c>
    </row>
    <row r="167" spans="1:6">
      <c r="A167" t="s">
        <v>26</v>
      </c>
      <c r="B167">
        <v>85.2</v>
      </c>
      <c r="C167">
        <v>79.6</v>
      </c>
      <c r="D167">
        <v>87</v>
      </c>
      <c r="E167">
        <v>87.4</v>
      </c>
      <c r="F167">
        <v>71.8</v>
      </c>
    </row>
    <row r="168" spans="1:6">
      <c r="A168" t="s">
        <v>27</v>
      </c>
      <c r="B168">
        <v>90.4</v>
      </c>
      <c r="C168">
        <v>91</v>
      </c>
      <c r="D168">
        <v>89.6</v>
      </c>
      <c r="E168">
        <v>90.2</v>
      </c>
      <c r="F168">
        <v>71.6</v>
      </c>
    </row>
    <row r="169" spans="1:6">
      <c r="A169" t="s">
        <v>28</v>
      </c>
      <c r="B169">
        <v>84.4</v>
      </c>
      <c r="C169">
        <v>89.8</v>
      </c>
      <c r="D169">
        <v>87.8</v>
      </c>
      <c r="E169">
        <v>92.8</v>
      </c>
      <c r="F169">
        <v>90</v>
      </c>
    </row>
    <row r="170" spans="1:6">
      <c r="A170" t="s">
        <v>29</v>
      </c>
      <c r="B170">
        <v>0</v>
      </c>
      <c r="C170">
        <v>64</v>
      </c>
      <c r="D170">
        <v>28.8</v>
      </c>
      <c r="E170">
        <v>21.8</v>
      </c>
      <c r="F170">
        <v>82.8</v>
      </c>
    </row>
    <row r="171" spans="1:6">
      <c r="A171" t="s">
        <v>30</v>
      </c>
      <c r="B171">
        <v>91.6</v>
      </c>
      <c r="C171">
        <v>87.2</v>
      </c>
      <c r="D171">
        <v>90.2</v>
      </c>
      <c r="E171">
        <v>80.6</v>
      </c>
      <c r="F171">
        <v>86.6</v>
      </c>
    </row>
    <row r="172" spans="1:6">
      <c r="A172" t="s">
        <v>31</v>
      </c>
      <c r="B172">
        <v>86.2</v>
      </c>
      <c r="C172">
        <v>65.4</v>
      </c>
      <c r="D172">
        <v>89.6</v>
      </c>
      <c r="E172">
        <v>93.2</v>
      </c>
      <c r="F172">
        <v>70.6</v>
      </c>
    </row>
    <row r="173" spans="1:6">
      <c r="A173" t="s">
        <v>32</v>
      </c>
      <c r="B173">
        <v>8.6</v>
      </c>
      <c r="C173">
        <v>63.8</v>
      </c>
      <c r="D173">
        <v>91.4</v>
      </c>
      <c r="E173">
        <v>84.8</v>
      </c>
      <c r="F173">
        <v>83.4</v>
      </c>
    </row>
    <row r="174" spans="1:6">
      <c r="A174" t="s">
        <v>33</v>
      </c>
      <c r="B174">
        <v>8.6</v>
      </c>
      <c r="C174">
        <v>67.6</v>
      </c>
      <c r="D174">
        <v>86.6</v>
      </c>
      <c r="E174">
        <v>83.8</v>
      </c>
      <c r="F174">
        <v>89.8</v>
      </c>
    </row>
    <row r="175" spans="1:6">
      <c r="A175" t="s">
        <v>34</v>
      </c>
      <c r="B175">
        <v>84.4</v>
      </c>
      <c r="C175">
        <v>91</v>
      </c>
      <c r="D175">
        <v>89.6</v>
      </c>
      <c r="E175">
        <v>77.8</v>
      </c>
      <c r="F175">
        <v>88.8</v>
      </c>
    </row>
    <row r="176" spans="1:6">
      <c r="A176" t="s">
        <v>35</v>
      </c>
      <c r="B176">
        <v>8.6</v>
      </c>
      <c r="C176">
        <v>30.6</v>
      </c>
      <c r="D176">
        <v>77.6</v>
      </c>
      <c r="E176">
        <v>84.4</v>
      </c>
      <c r="F176">
        <v>82.8</v>
      </c>
    </row>
    <row r="177" spans="1:6">
      <c r="A177" t="s">
        <v>36</v>
      </c>
      <c r="B177">
        <v>82.4</v>
      </c>
      <c r="C177">
        <v>52.4</v>
      </c>
      <c r="D177">
        <v>73.6</v>
      </c>
      <c r="E177">
        <v>56</v>
      </c>
      <c r="F177">
        <v>71.6</v>
      </c>
    </row>
    <row r="178" spans="1:6">
      <c r="A178" t="s">
        <v>37</v>
      </c>
      <c r="B178">
        <v>90.4</v>
      </c>
      <c r="C178">
        <v>91</v>
      </c>
      <c r="D178">
        <v>91.8</v>
      </c>
      <c r="E178">
        <v>79.8</v>
      </c>
      <c r="F178">
        <v>83.4</v>
      </c>
    </row>
    <row r="179" spans="1:6">
      <c r="A179" t="s">
        <v>38</v>
      </c>
      <c r="B179">
        <v>93.8</v>
      </c>
      <c r="C179">
        <v>93.8</v>
      </c>
      <c r="D179">
        <v>94.6</v>
      </c>
      <c r="E179">
        <v>85.8</v>
      </c>
      <c r="F179">
        <v>94</v>
      </c>
    </row>
    <row r="180" spans="1:6">
      <c r="A180" t="s">
        <v>39</v>
      </c>
      <c r="B180">
        <v>33.4</v>
      </c>
      <c r="C180">
        <v>17.4</v>
      </c>
      <c r="D180">
        <v>89.5</v>
      </c>
      <c r="E180">
        <v>73.2</v>
      </c>
      <c r="F180">
        <v>80.4</v>
      </c>
    </row>
    <row r="181" spans="1:6">
      <c r="A181" t="s">
        <v>40</v>
      </c>
      <c r="B181">
        <v>8.6</v>
      </c>
      <c r="C181">
        <v>72.6</v>
      </c>
      <c r="D181">
        <v>87.8</v>
      </c>
      <c r="E181">
        <v>87</v>
      </c>
      <c r="F181">
        <v>80.4</v>
      </c>
    </row>
    <row r="182" spans="1:6">
      <c r="A182" t="s">
        <v>41</v>
      </c>
      <c r="B182">
        <v>91.2</v>
      </c>
      <c r="C182">
        <v>41</v>
      </c>
      <c r="D182">
        <v>36</v>
      </c>
      <c r="E182">
        <v>26.6</v>
      </c>
      <c r="F182">
        <v>22.6</v>
      </c>
    </row>
    <row r="183" spans="1:6">
      <c r="A183" t="s">
        <v>42</v>
      </c>
      <c r="B183">
        <v>88.4</v>
      </c>
      <c r="C183">
        <v>66.8</v>
      </c>
      <c r="D183">
        <v>97.4</v>
      </c>
      <c r="E183">
        <v>78</v>
      </c>
      <c r="F183">
        <v>83.4</v>
      </c>
    </row>
    <row r="184" spans="1:6">
      <c r="A184" t="s">
        <v>43</v>
      </c>
      <c r="B184">
        <v>8.6</v>
      </c>
      <c r="C184">
        <v>6.8</v>
      </c>
      <c r="D184">
        <v>71.2</v>
      </c>
      <c r="E184">
        <v>80.6</v>
      </c>
      <c r="F184">
        <v>79.8</v>
      </c>
    </row>
    <row r="185" spans="1:6">
      <c r="A185" t="s">
        <v>44</v>
      </c>
      <c r="B185">
        <v>89.4</v>
      </c>
      <c r="C185">
        <v>93.6</v>
      </c>
      <c r="D185">
        <v>87.8</v>
      </c>
      <c r="E185">
        <v>84.6</v>
      </c>
      <c r="F185">
        <v>85.6</v>
      </c>
    </row>
    <row r="186" spans="1:6">
      <c r="A186" t="s">
        <v>46</v>
      </c>
      <c r="B186">
        <v>0</v>
      </c>
      <c r="C186">
        <v>4.2</v>
      </c>
      <c r="D186">
        <v>37</v>
      </c>
      <c r="E186">
        <v>75.6</v>
      </c>
      <c r="F186">
        <v>80.6</v>
      </c>
    </row>
    <row r="187" spans="1:6">
      <c r="A187" t="s">
        <v>45</v>
      </c>
      <c r="B187">
        <v>8.6</v>
      </c>
      <c r="C187">
        <v>46.4</v>
      </c>
      <c r="D187">
        <v>74.6</v>
      </c>
      <c r="E187">
        <v>75.6</v>
      </c>
      <c r="F187">
        <v>90.8</v>
      </c>
    </row>
    <row r="188" spans="1:6">
      <c r="A188" t="s">
        <v>47</v>
      </c>
      <c r="B188">
        <v>8.6</v>
      </c>
      <c r="C188">
        <v>13.6</v>
      </c>
      <c r="D188">
        <v>91.2</v>
      </c>
      <c r="E188">
        <v>74</v>
      </c>
      <c r="F188">
        <v>44.2</v>
      </c>
    </row>
    <row r="189" spans="1:6">
      <c r="A189" t="s">
        <v>48</v>
      </c>
      <c r="B189">
        <v>72.4</v>
      </c>
      <c r="C189">
        <v>72.6</v>
      </c>
      <c r="D189">
        <v>89.4</v>
      </c>
      <c r="E189">
        <v>67</v>
      </c>
      <c r="F189">
        <v>83.8</v>
      </c>
    </row>
    <row r="190" spans="1:6">
      <c r="A190" t="s">
        <v>49</v>
      </c>
      <c r="B190">
        <v>72.4</v>
      </c>
      <c r="C190">
        <v>92</v>
      </c>
      <c r="D190">
        <v>85.4</v>
      </c>
      <c r="E190">
        <v>67.2</v>
      </c>
      <c r="F190">
        <v>88.4</v>
      </c>
    </row>
    <row r="191" spans="1:6">
      <c r="A191" t="s">
        <v>50</v>
      </c>
      <c r="B191">
        <v>89.4</v>
      </c>
      <c r="C191">
        <v>93.6</v>
      </c>
      <c r="D191">
        <v>91.2</v>
      </c>
      <c r="E191">
        <v>86.6</v>
      </c>
      <c r="F191">
        <v>79.8</v>
      </c>
    </row>
    <row r="192" spans="1:6">
      <c r="A192" t="s">
        <v>51</v>
      </c>
      <c r="B192">
        <v>48</v>
      </c>
      <c r="C192">
        <v>81.6</v>
      </c>
      <c r="D192">
        <v>85.4</v>
      </c>
      <c r="E192">
        <v>90.4</v>
      </c>
      <c r="F192">
        <v>84.8</v>
      </c>
    </row>
    <row r="193" spans="1:6">
      <c r="A193" t="s">
        <v>54</v>
      </c>
      <c r="B193">
        <v>0</v>
      </c>
      <c r="C193">
        <v>59.8</v>
      </c>
      <c r="D193">
        <v>89.4</v>
      </c>
      <c r="E193">
        <v>74</v>
      </c>
      <c r="F193">
        <v>44.2</v>
      </c>
    </row>
    <row r="194" spans="1:6">
      <c r="A194" t="s">
        <v>52</v>
      </c>
      <c r="B194">
        <v>10.2</v>
      </c>
      <c r="C194">
        <v>73.2</v>
      </c>
      <c r="D194">
        <v>83</v>
      </c>
      <c r="E194">
        <v>67.2</v>
      </c>
      <c r="F194">
        <v>85.6</v>
      </c>
    </row>
    <row r="195" spans="1:6">
      <c r="A195" t="s">
        <v>53</v>
      </c>
      <c r="B195">
        <v>93.8</v>
      </c>
      <c r="C195">
        <v>93.8</v>
      </c>
      <c r="D195">
        <v>91.8</v>
      </c>
      <c r="E195">
        <v>90.4</v>
      </c>
      <c r="F195">
        <v>88.4</v>
      </c>
    </row>
    <row r="196" spans="1:6">
      <c r="A196" t="s">
        <v>55</v>
      </c>
      <c r="B196">
        <v>83.4</v>
      </c>
      <c r="C196">
        <v>74.6</v>
      </c>
      <c r="D196">
        <v>83.8</v>
      </c>
      <c r="E196">
        <v>73</v>
      </c>
      <c r="F196">
        <v>79.8</v>
      </c>
    </row>
    <row r="197" spans="1:6">
      <c r="A197" s="2" t="s">
        <v>345</v>
      </c>
      <c r="B197" s="2" t="s">
        <v>346</v>
      </c>
      <c r="C197" s="2" t="s">
        <v>347</v>
      </c>
      <c r="D197" s="2" t="s">
        <v>348</v>
      </c>
      <c r="E197" s="2" t="s">
        <v>349</v>
      </c>
      <c r="F197" s="2" t="s">
        <v>350</v>
      </c>
    </row>
    <row r="198" spans="1:6">
      <c r="A198" t="s">
        <v>20</v>
      </c>
      <c r="B198">
        <v>58.8</v>
      </c>
      <c r="C198">
        <v>92</v>
      </c>
      <c r="D198">
        <v>94.4</v>
      </c>
      <c r="E198">
        <v>92.6</v>
      </c>
      <c r="F198">
        <v>86.2</v>
      </c>
    </row>
    <row r="199" spans="1:6">
      <c r="A199" t="s">
        <v>21</v>
      </c>
      <c r="B199">
        <v>75.4</v>
      </c>
      <c r="C199">
        <v>73.4</v>
      </c>
      <c r="D199">
        <v>53.8</v>
      </c>
      <c r="E199">
        <v>88.6</v>
      </c>
      <c r="F199">
        <v>86</v>
      </c>
    </row>
    <row r="200" spans="1:6">
      <c r="A200" t="s">
        <v>22</v>
      </c>
      <c r="B200">
        <v>86.4</v>
      </c>
      <c r="C200">
        <v>33.4</v>
      </c>
      <c r="D200">
        <v>87.8</v>
      </c>
      <c r="E200">
        <v>50.6</v>
      </c>
      <c r="F200">
        <v>81.4</v>
      </c>
    </row>
    <row r="201" spans="1:6">
      <c r="A201" t="s">
        <v>23</v>
      </c>
      <c r="B201">
        <v>87.2</v>
      </c>
      <c r="C201">
        <v>69</v>
      </c>
      <c r="D201">
        <v>91.2</v>
      </c>
      <c r="E201">
        <v>93.4</v>
      </c>
      <c r="F201">
        <v>87.2</v>
      </c>
    </row>
    <row r="202" spans="1:6">
      <c r="A202" t="s">
        <v>24</v>
      </c>
      <c r="B202">
        <v>86.4</v>
      </c>
      <c r="C202">
        <v>86.2</v>
      </c>
      <c r="D202">
        <v>91.2</v>
      </c>
      <c r="E202">
        <v>88.6</v>
      </c>
      <c r="F202">
        <v>81.4</v>
      </c>
    </row>
    <row r="203" spans="1:6">
      <c r="A203" t="s">
        <v>25</v>
      </c>
      <c r="B203">
        <v>84.6</v>
      </c>
      <c r="C203">
        <v>89.4</v>
      </c>
      <c r="D203">
        <v>93</v>
      </c>
      <c r="E203">
        <v>93.2</v>
      </c>
      <c r="F203">
        <v>89.4</v>
      </c>
    </row>
    <row r="204" spans="1:6">
      <c r="A204" t="s">
        <v>26</v>
      </c>
      <c r="B204">
        <v>84</v>
      </c>
      <c r="C204">
        <v>88</v>
      </c>
      <c r="D204">
        <v>93</v>
      </c>
      <c r="E204">
        <v>93.2</v>
      </c>
      <c r="F204">
        <v>81.4</v>
      </c>
    </row>
    <row r="205" spans="1:6">
      <c r="A205" t="s">
        <v>27</v>
      </c>
      <c r="B205">
        <v>87.2</v>
      </c>
      <c r="C205">
        <v>90.6</v>
      </c>
      <c r="D205">
        <v>91.2</v>
      </c>
      <c r="E205">
        <v>93.4</v>
      </c>
      <c r="F205">
        <v>83</v>
      </c>
    </row>
    <row r="206" spans="1:6">
      <c r="A206" t="s">
        <v>28</v>
      </c>
      <c r="B206">
        <v>84.2</v>
      </c>
      <c r="C206">
        <v>91.9</v>
      </c>
      <c r="D206">
        <v>93.4</v>
      </c>
      <c r="E206">
        <v>95.8</v>
      </c>
      <c r="F206">
        <v>91.6</v>
      </c>
    </row>
    <row r="207" spans="1:6">
      <c r="A207" t="s">
        <v>29</v>
      </c>
      <c r="B207">
        <v>8.8</v>
      </c>
      <c r="C207">
        <v>69</v>
      </c>
      <c r="D207">
        <v>54.2</v>
      </c>
      <c r="E207">
        <v>28.4</v>
      </c>
      <c r="F207">
        <v>86.2</v>
      </c>
    </row>
    <row r="208" spans="1:6">
      <c r="A208" t="s">
        <v>30</v>
      </c>
      <c r="B208">
        <v>87.2</v>
      </c>
      <c r="C208">
        <v>92.8</v>
      </c>
      <c r="D208">
        <v>91.2</v>
      </c>
      <c r="E208">
        <v>88.6</v>
      </c>
      <c r="F208">
        <v>87.2</v>
      </c>
    </row>
    <row r="209" spans="1:6">
      <c r="A209" t="s">
        <v>31</v>
      </c>
      <c r="B209">
        <v>84</v>
      </c>
      <c r="C209">
        <v>69</v>
      </c>
      <c r="D209">
        <v>93.4</v>
      </c>
      <c r="E209">
        <v>94</v>
      </c>
      <c r="F209">
        <v>81.4</v>
      </c>
    </row>
    <row r="210" spans="1:6">
      <c r="A210" t="s">
        <v>32</v>
      </c>
      <c r="B210">
        <v>48.6</v>
      </c>
      <c r="C210">
        <v>69</v>
      </c>
      <c r="D210">
        <v>91.8</v>
      </c>
      <c r="E210">
        <v>92</v>
      </c>
      <c r="F210">
        <v>86</v>
      </c>
    </row>
    <row r="211" spans="1:6">
      <c r="A211" t="s">
        <v>33</v>
      </c>
      <c r="B211">
        <v>48.6</v>
      </c>
      <c r="C211">
        <v>69.4</v>
      </c>
      <c r="D211">
        <v>87.6</v>
      </c>
      <c r="E211">
        <v>90</v>
      </c>
      <c r="F211">
        <v>88.2</v>
      </c>
    </row>
    <row r="212" spans="1:6">
      <c r="A212" t="s">
        <v>34</v>
      </c>
      <c r="B212">
        <v>83.6</v>
      </c>
      <c r="C212">
        <v>90.6</v>
      </c>
      <c r="D212">
        <v>88.6</v>
      </c>
      <c r="E212">
        <v>88.2</v>
      </c>
      <c r="F212">
        <v>91.2</v>
      </c>
    </row>
    <row r="213" spans="1:6">
      <c r="A213" t="s">
        <v>35</v>
      </c>
      <c r="B213">
        <v>42.8</v>
      </c>
      <c r="C213">
        <v>36.6</v>
      </c>
      <c r="D213">
        <v>89</v>
      </c>
      <c r="E213">
        <v>90.6</v>
      </c>
      <c r="F213">
        <v>84.2</v>
      </c>
    </row>
    <row r="214" spans="1:6">
      <c r="A214" t="s">
        <v>36</v>
      </c>
      <c r="B214">
        <v>83</v>
      </c>
      <c r="C214">
        <v>64.4</v>
      </c>
      <c r="D214">
        <v>89</v>
      </c>
      <c r="E214">
        <v>52.8</v>
      </c>
      <c r="F214">
        <v>82.6</v>
      </c>
    </row>
    <row r="215" spans="1:6">
      <c r="A215" t="s">
        <v>37</v>
      </c>
      <c r="B215">
        <v>87.2</v>
      </c>
      <c r="C215">
        <v>91.9</v>
      </c>
      <c r="D215">
        <v>93.4</v>
      </c>
      <c r="E215">
        <v>88.2</v>
      </c>
      <c r="F215">
        <v>82.4</v>
      </c>
    </row>
    <row r="216" spans="1:6">
      <c r="A216" t="s">
        <v>38</v>
      </c>
      <c r="B216">
        <v>93.2</v>
      </c>
      <c r="C216">
        <v>93.8</v>
      </c>
      <c r="D216">
        <v>94.4</v>
      </c>
      <c r="E216">
        <v>90.8</v>
      </c>
      <c r="F216">
        <v>92.2</v>
      </c>
    </row>
    <row r="217" spans="1:6">
      <c r="A217" t="s">
        <v>39</v>
      </c>
      <c r="B217">
        <v>22.6</v>
      </c>
      <c r="C217">
        <v>29.4</v>
      </c>
      <c r="D217">
        <v>90</v>
      </c>
      <c r="E217">
        <v>86.6</v>
      </c>
      <c r="F217">
        <v>83.6</v>
      </c>
    </row>
    <row r="218" spans="1:6">
      <c r="A218" t="s">
        <v>40</v>
      </c>
      <c r="B218">
        <v>45.4</v>
      </c>
      <c r="C218">
        <v>75.2</v>
      </c>
      <c r="D218">
        <v>89.4</v>
      </c>
      <c r="E218">
        <v>93</v>
      </c>
      <c r="F218">
        <v>90.2</v>
      </c>
    </row>
    <row r="219" spans="1:6">
      <c r="A219" t="s">
        <v>41</v>
      </c>
      <c r="B219">
        <v>87.4</v>
      </c>
      <c r="C219">
        <v>61.8</v>
      </c>
      <c r="D219">
        <v>33.6</v>
      </c>
      <c r="E219">
        <v>40.2</v>
      </c>
      <c r="F219">
        <v>33.8</v>
      </c>
    </row>
    <row r="220" spans="1:6">
      <c r="A220" t="s">
        <v>42</v>
      </c>
      <c r="B220">
        <v>87.4</v>
      </c>
      <c r="C220">
        <v>76</v>
      </c>
      <c r="D220">
        <v>95</v>
      </c>
      <c r="E220">
        <v>90.4</v>
      </c>
      <c r="F220">
        <v>90.2</v>
      </c>
    </row>
    <row r="221" spans="1:6">
      <c r="A221" t="s">
        <v>43</v>
      </c>
      <c r="B221">
        <v>59</v>
      </c>
      <c r="C221">
        <v>23.4</v>
      </c>
      <c r="D221">
        <v>48.6</v>
      </c>
      <c r="E221">
        <v>90.2</v>
      </c>
      <c r="F221">
        <v>82</v>
      </c>
    </row>
    <row r="222" spans="1:6">
      <c r="A222" t="s">
        <v>44</v>
      </c>
      <c r="B222">
        <v>89.6</v>
      </c>
      <c r="C222">
        <v>93.8</v>
      </c>
      <c r="D222">
        <v>87.8</v>
      </c>
      <c r="E222">
        <v>90.4</v>
      </c>
      <c r="F222">
        <v>89.6</v>
      </c>
    </row>
    <row r="223" spans="1:6">
      <c r="A223" t="s">
        <v>46</v>
      </c>
      <c r="B223">
        <v>0</v>
      </c>
      <c r="C223">
        <v>16</v>
      </c>
      <c r="D223">
        <v>36</v>
      </c>
      <c r="E223">
        <v>89.4</v>
      </c>
      <c r="F223">
        <v>89.6</v>
      </c>
    </row>
    <row r="224" spans="1:6">
      <c r="A224" t="s">
        <v>45</v>
      </c>
      <c r="B224">
        <v>36.6</v>
      </c>
      <c r="C224">
        <v>69.6</v>
      </c>
      <c r="D224">
        <v>87.8</v>
      </c>
      <c r="E224">
        <v>89.4</v>
      </c>
      <c r="F224">
        <v>91.8</v>
      </c>
    </row>
    <row r="225" spans="1:6">
      <c r="A225" t="s">
        <v>47</v>
      </c>
      <c r="B225">
        <v>36.6</v>
      </c>
      <c r="C225">
        <v>29.8</v>
      </c>
      <c r="D225">
        <v>89.8</v>
      </c>
      <c r="E225">
        <v>88.4</v>
      </c>
      <c r="F225">
        <v>80.4</v>
      </c>
    </row>
    <row r="226" spans="1:6">
      <c r="A226" t="s">
        <v>48</v>
      </c>
      <c r="B226">
        <v>82.2</v>
      </c>
      <c r="C226">
        <v>75.2</v>
      </c>
      <c r="D226">
        <v>89.8</v>
      </c>
      <c r="E226">
        <v>82.2</v>
      </c>
      <c r="F226">
        <v>90.2</v>
      </c>
    </row>
    <row r="227" spans="1:6">
      <c r="A227" t="s">
        <v>49</v>
      </c>
      <c r="B227">
        <v>82.2</v>
      </c>
      <c r="C227">
        <v>84.5</v>
      </c>
      <c r="D227">
        <v>87.8</v>
      </c>
      <c r="E227">
        <v>73.6</v>
      </c>
      <c r="F227">
        <v>92.2</v>
      </c>
    </row>
    <row r="228" spans="1:6">
      <c r="A228" t="s">
        <v>50</v>
      </c>
      <c r="B228">
        <v>89.6</v>
      </c>
      <c r="C228">
        <v>92.9</v>
      </c>
      <c r="D228">
        <v>89.8</v>
      </c>
      <c r="E228">
        <v>90.8</v>
      </c>
      <c r="F228">
        <v>82</v>
      </c>
    </row>
    <row r="229" spans="1:6">
      <c r="A229" t="s">
        <v>51</v>
      </c>
      <c r="B229">
        <v>93.2</v>
      </c>
      <c r="C229">
        <v>82</v>
      </c>
      <c r="D229">
        <v>89.8</v>
      </c>
      <c r="E229">
        <v>90.6</v>
      </c>
      <c r="F229">
        <v>90.2</v>
      </c>
    </row>
    <row r="230" spans="1:6">
      <c r="A230" t="s">
        <v>54</v>
      </c>
      <c r="B230">
        <v>0</v>
      </c>
      <c r="C230">
        <v>72</v>
      </c>
      <c r="D230">
        <v>89.8</v>
      </c>
      <c r="E230">
        <v>88.4</v>
      </c>
      <c r="F230">
        <v>80.4</v>
      </c>
    </row>
    <row r="231" spans="1:6">
      <c r="A231" t="s">
        <v>52</v>
      </c>
      <c r="B231">
        <v>40.6</v>
      </c>
      <c r="C231">
        <v>80.1</v>
      </c>
      <c r="D231">
        <v>82</v>
      </c>
      <c r="E231">
        <v>73.6</v>
      </c>
      <c r="F231">
        <v>90.2</v>
      </c>
    </row>
    <row r="232" spans="1:6">
      <c r="A232" t="s">
        <v>53</v>
      </c>
      <c r="B232">
        <v>93.2</v>
      </c>
      <c r="C232">
        <v>92.9</v>
      </c>
      <c r="D232">
        <v>90</v>
      </c>
      <c r="E232">
        <v>90.6</v>
      </c>
      <c r="F232">
        <v>92.2</v>
      </c>
    </row>
    <row r="233" spans="1:6">
      <c r="A233" t="s">
        <v>55</v>
      </c>
      <c r="B233">
        <v>89</v>
      </c>
      <c r="C233">
        <v>73.4</v>
      </c>
      <c r="D233">
        <v>87.8</v>
      </c>
      <c r="E233">
        <v>85.2</v>
      </c>
      <c r="F233">
        <v>79.6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zoomScale="145" zoomScaleNormal="145" topLeftCell="A9" workbookViewId="0">
      <selection activeCell="F45" sqref="F45"/>
    </sheetView>
  </sheetViews>
  <sheetFormatPr defaultColWidth="9" defaultRowHeight="13.5" outlineLevelCol="3"/>
  <cols>
    <col min="2" max="2" width="15.3416666666667" customWidth="1"/>
    <col min="3" max="3" width="18.2666666666667" customWidth="1"/>
  </cols>
  <sheetData>
    <row r="1" ht="15" spans="1:4">
      <c r="A1" s="11" t="s">
        <v>351</v>
      </c>
    </row>
    <row r="4" spans="1:4">
      <c r="A4" s="2" t="s">
        <v>74</v>
      </c>
      <c r="B4" s="2" t="s">
        <v>75</v>
      </c>
      <c r="C4" s="2" t="s">
        <v>79</v>
      </c>
      <c r="D4" s="2" t="s">
        <v>352</v>
      </c>
    </row>
    <row r="5" spans="1:4">
      <c r="A5" t="s">
        <v>29</v>
      </c>
      <c r="B5">
        <v>0</v>
      </c>
      <c r="C5">
        <v>83</v>
      </c>
      <c r="D5" t="s">
        <v>353</v>
      </c>
    </row>
    <row r="6" spans="1:4">
      <c r="A6" t="s">
        <v>46</v>
      </c>
      <c r="B6">
        <v>0</v>
      </c>
      <c r="C6">
        <v>81.2</v>
      </c>
      <c r="D6" t="s">
        <v>353</v>
      </c>
    </row>
    <row r="7" spans="1:4">
      <c r="A7" t="s">
        <v>54</v>
      </c>
      <c r="B7">
        <v>0</v>
      </c>
      <c r="C7">
        <v>82.4</v>
      </c>
      <c r="D7" t="s">
        <v>353</v>
      </c>
    </row>
    <row r="8" spans="1:4">
      <c r="A8" t="s">
        <v>39</v>
      </c>
      <c r="B8">
        <v>24.4</v>
      </c>
      <c r="C8">
        <v>81.2</v>
      </c>
      <c r="D8" t="s">
        <v>353</v>
      </c>
    </row>
    <row r="9" spans="1:4">
      <c r="A9" t="s">
        <v>52</v>
      </c>
      <c r="B9">
        <v>26.6</v>
      </c>
      <c r="C9">
        <v>83</v>
      </c>
      <c r="D9" t="s">
        <v>353</v>
      </c>
    </row>
    <row r="10" spans="1:4">
      <c r="A10" t="s">
        <v>47</v>
      </c>
      <c r="B10">
        <v>32.4</v>
      </c>
      <c r="C10">
        <v>83</v>
      </c>
      <c r="D10" t="s">
        <v>353</v>
      </c>
    </row>
    <row r="11" spans="1:4">
      <c r="A11" t="s">
        <v>45</v>
      </c>
      <c r="B11">
        <v>33.6</v>
      </c>
      <c r="C11">
        <v>81.8</v>
      </c>
      <c r="D11" t="s">
        <v>353</v>
      </c>
    </row>
    <row r="12" spans="1:4">
      <c r="A12" t="s">
        <v>35</v>
      </c>
      <c r="B12">
        <v>39.6</v>
      </c>
      <c r="C12">
        <v>82.2</v>
      </c>
      <c r="D12" t="s">
        <v>353</v>
      </c>
    </row>
    <row r="13" spans="1:4">
      <c r="A13" t="s">
        <v>31</v>
      </c>
      <c r="B13">
        <v>41.6</v>
      </c>
      <c r="C13">
        <v>81.6</v>
      </c>
      <c r="D13" t="s">
        <v>353</v>
      </c>
    </row>
    <row r="14" spans="1:4">
      <c r="A14" t="s">
        <v>21</v>
      </c>
      <c r="B14">
        <v>42.4</v>
      </c>
      <c r="C14">
        <v>82.2</v>
      </c>
      <c r="D14" t="s">
        <v>353</v>
      </c>
    </row>
    <row r="15" spans="1:4">
      <c r="A15" t="s">
        <v>43</v>
      </c>
      <c r="B15">
        <v>42.4</v>
      </c>
      <c r="C15">
        <v>81.6</v>
      </c>
      <c r="D15" t="s">
        <v>353</v>
      </c>
    </row>
    <row r="16" spans="1:4">
      <c r="A16" t="s">
        <v>36</v>
      </c>
      <c r="B16">
        <v>56.4</v>
      </c>
      <c r="C16">
        <v>61</v>
      </c>
      <c r="D16" t="s">
        <v>353</v>
      </c>
    </row>
    <row r="17" spans="1:4">
      <c r="A17" t="s">
        <v>55</v>
      </c>
      <c r="B17">
        <v>56.4</v>
      </c>
      <c r="C17">
        <v>79</v>
      </c>
      <c r="D17" t="s">
        <v>354</v>
      </c>
    </row>
    <row r="18" spans="1:4">
      <c r="A18" t="s">
        <v>20</v>
      </c>
      <c r="B18">
        <v>57.2</v>
      </c>
      <c r="C18">
        <v>80.6</v>
      </c>
      <c r="D18" t="s">
        <v>354</v>
      </c>
    </row>
    <row r="19" spans="1:4">
      <c r="A19" t="s">
        <v>24</v>
      </c>
      <c r="B19">
        <v>57.2</v>
      </c>
      <c r="C19">
        <v>81.6</v>
      </c>
      <c r="D19" t="s">
        <v>354</v>
      </c>
    </row>
    <row r="20" spans="1:4">
      <c r="A20" t="s">
        <v>40</v>
      </c>
      <c r="B20">
        <v>57.2</v>
      </c>
      <c r="C20">
        <v>81.6</v>
      </c>
      <c r="D20" t="s">
        <v>354</v>
      </c>
    </row>
    <row r="21" spans="1:4">
      <c r="A21" t="s">
        <v>41</v>
      </c>
      <c r="B21">
        <v>57.2</v>
      </c>
      <c r="C21">
        <v>43.6</v>
      </c>
      <c r="D21" t="s">
        <v>354</v>
      </c>
    </row>
    <row r="22" spans="1:4">
      <c r="A22" t="s">
        <v>42</v>
      </c>
      <c r="B22">
        <v>57.2</v>
      </c>
      <c r="C22">
        <v>80.6</v>
      </c>
      <c r="D22" t="s">
        <v>354</v>
      </c>
    </row>
    <row r="23" spans="1:4">
      <c r="A23" t="s">
        <v>25</v>
      </c>
      <c r="B23">
        <v>59.6</v>
      </c>
      <c r="C23">
        <v>86</v>
      </c>
      <c r="D23" t="s">
        <v>354</v>
      </c>
    </row>
    <row r="24" spans="1:4">
      <c r="A24" t="s">
        <v>32</v>
      </c>
      <c r="B24">
        <v>59.6</v>
      </c>
      <c r="C24">
        <v>81.6</v>
      </c>
      <c r="D24" t="s">
        <v>354</v>
      </c>
    </row>
    <row r="25" spans="1:4">
      <c r="A25" t="s">
        <v>33</v>
      </c>
      <c r="B25">
        <v>59.6</v>
      </c>
      <c r="C25">
        <v>86</v>
      </c>
      <c r="D25" t="s">
        <v>354</v>
      </c>
    </row>
    <row r="26" spans="1:4">
      <c r="A26" t="s">
        <v>26</v>
      </c>
      <c r="B26">
        <v>60.2</v>
      </c>
      <c r="C26">
        <v>81.6</v>
      </c>
      <c r="D26" t="s">
        <v>354</v>
      </c>
    </row>
    <row r="27" spans="1:4">
      <c r="A27" t="s">
        <v>27</v>
      </c>
      <c r="B27">
        <v>60.2</v>
      </c>
      <c r="C27">
        <v>81.2</v>
      </c>
      <c r="D27" t="s">
        <v>354</v>
      </c>
    </row>
    <row r="28" spans="1:4">
      <c r="A28" t="s">
        <v>28</v>
      </c>
      <c r="B28">
        <v>60.2</v>
      </c>
      <c r="C28">
        <v>81.8</v>
      </c>
      <c r="D28" t="s">
        <v>354</v>
      </c>
    </row>
    <row r="29" spans="1:4">
      <c r="A29" t="s">
        <v>34</v>
      </c>
      <c r="B29">
        <v>60.2</v>
      </c>
      <c r="C29">
        <v>81.8</v>
      </c>
      <c r="D29" t="s">
        <v>355</v>
      </c>
    </row>
    <row r="30" spans="1:4">
      <c r="A30" t="s">
        <v>37</v>
      </c>
      <c r="B30">
        <v>60.2</v>
      </c>
      <c r="C30">
        <v>80.6</v>
      </c>
      <c r="D30" t="s">
        <v>355</v>
      </c>
    </row>
    <row r="31" spans="1:4">
      <c r="A31" t="s">
        <v>48</v>
      </c>
      <c r="B31">
        <v>60.2</v>
      </c>
      <c r="C31">
        <v>69</v>
      </c>
      <c r="D31" t="s">
        <v>355</v>
      </c>
    </row>
    <row r="32" spans="1:4">
      <c r="A32" t="s">
        <v>49</v>
      </c>
      <c r="B32">
        <v>60.2</v>
      </c>
      <c r="C32">
        <v>86</v>
      </c>
      <c r="D32" t="s">
        <v>355</v>
      </c>
    </row>
    <row r="33" spans="1:4">
      <c r="A33" t="s">
        <v>50</v>
      </c>
      <c r="B33">
        <v>63</v>
      </c>
      <c r="C33">
        <v>82.2</v>
      </c>
      <c r="D33" t="s">
        <v>355</v>
      </c>
    </row>
    <row r="34" spans="1:4">
      <c r="A34" t="s">
        <v>44</v>
      </c>
      <c r="B34">
        <v>63.6</v>
      </c>
      <c r="C34">
        <v>83</v>
      </c>
      <c r="D34" t="s">
        <v>355</v>
      </c>
    </row>
    <row r="35" spans="1:4">
      <c r="A35" t="s">
        <v>53</v>
      </c>
      <c r="B35">
        <v>63.8</v>
      </c>
      <c r="C35">
        <v>86</v>
      </c>
      <c r="D35" t="s">
        <v>355</v>
      </c>
    </row>
    <row r="36" spans="1:4">
      <c r="A36" t="s">
        <v>30</v>
      </c>
      <c r="B36">
        <v>64.6</v>
      </c>
      <c r="C36">
        <v>86</v>
      </c>
      <c r="D36" t="s">
        <v>355</v>
      </c>
    </row>
    <row r="37" spans="1:4">
      <c r="A37" t="s">
        <v>38</v>
      </c>
      <c r="B37">
        <v>64.6</v>
      </c>
      <c r="C37">
        <v>93.2</v>
      </c>
      <c r="D37" t="s">
        <v>355</v>
      </c>
    </row>
    <row r="38" spans="1:4">
      <c r="A38" t="s">
        <v>51</v>
      </c>
      <c r="B38">
        <v>65.2</v>
      </c>
      <c r="C38">
        <v>82.4</v>
      </c>
      <c r="D38" t="s">
        <v>355</v>
      </c>
    </row>
    <row r="39" spans="1:4">
      <c r="A39" t="s">
        <v>23</v>
      </c>
      <c r="B39">
        <v>65.8</v>
      </c>
      <c r="C39">
        <v>82.4</v>
      </c>
      <c r="D39" t="s">
        <v>355</v>
      </c>
    </row>
    <row r="40" spans="1:4">
      <c r="A40" t="s">
        <v>22</v>
      </c>
      <c r="B40">
        <v>68</v>
      </c>
      <c r="C40">
        <v>72</v>
      </c>
      <c r="D40" t="s">
        <v>355</v>
      </c>
    </row>
    <row r="42" spans="1:4">
      <c r="A42" s="2" t="s">
        <v>352</v>
      </c>
      <c r="B42" s="2" t="s">
        <v>334</v>
      </c>
      <c r="C42" s="2" t="s">
        <v>338</v>
      </c>
      <c r="D42" s="2" t="s">
        <v>339</v>
      </c>
    </row>
    <row r="43" spans="1:4">
      <c r="A43" t="s">
        <v>353</v>
      </c>
      <c r="B43" s="13">
        <f>AVERAGEIF($D$5:$D$40,$A43,$B$5:$B$40)</f>
        <v>28.2833333333333</v>
      </c>
      <c r="C43" s="13">
        <f>AVERAGEIF($D$5:$D$40,$A43,$C$5:$C$40)</f>
        <v>80.35</v>
      </c>
      <c r="D43" s="13">
        <f>C43-B43</f>
        <v>52.0666666666667</v>
      </c>
    </row>
    <row r="44" spans="1:4">
      <c r="A44" t="s">
        <v>354</v>
      </c>
      <c r="B44" s="13">
        <f>AVERAGEIF($D$5:$D$40,$A44,$B$5:$B$40)</f>
        <v>58.4833333333333</v>
      </c>
      <c r="C44" s="13">
        <f>AVERAGEIF($D$5:$D$40,$A44,$C$5:$C$40)</f>
        <v>78.7666666666667</v>
      </c>
      <c r="D44" s="13">
        <f>C44-B44</f>
        <v>20.2833333333333</v>
      </c>
    </row>
    <row r="45" spans="1:4">
      <c r="A45" t="s">
        <v>355</v>
      </c>
      <c r="B45" s="13">
        <f>AVERAGEIF($D$5:$D$40,$A45,$B$5:$B$40)</f>
        <v>63.2833333333333</v>
      </c>
      <c r="C45" s="13">
        <f>AVERAGEIF($D$5:$D$40,$A45,$C$5:$C$40)</f>
        <v>82.05</v>
      </c>
      <c r="D45" s="13">
        <f>C45-B45</f>
        <v>18.7666666666667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zoomScale="130" zoomScaleNormal="130" topLeftCell="A5" workbookViewId="0">
      <selection activeCell="R42" sqref="R42"/>
    </sheetView>
  </sheetViews>
  <sheetFormatPr defaultColWidth="9" defaultRowHeight="13.5"/>
  <sheetData>
    <row r="1" ht="15" spans="1:15">
      <c r="A1" s="11" t="s">
        <v>356</v>
      </c>
    </row>
    <row r="4" ht="85" customHeight="1" spans="1:15">
      <c r="A4" s="2" t="s">
        <v>10</v>
      </c>
      <c r="B4" s="2" t="s">
        <v>357</v>
      </c>
      <c r="C4" s="2" t="s">
        <v>358</v>
      </c>
      <c r="D4" s="2" t="s">
        <v>359</v>
      </c>
      <c r="E4" s="2" t="s">
        <v>360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367</v>
      </c>
      <c r="M4" s="2" t="s">
        <v>368</v>
      </c>
      <c r="N4" s="2" t="s">
        <v>369</v>
      </c>
      <c r="O4" s="38" t="s">
        <v>370</v>
      </c>
    </row>
    <row r="5" spans="1:15">
      <c r="A5" t="s">
        <v>20</v>
      </c>
      <c r="B5">
        <v>4</v>
      </c>
      <c r="C5">
        <v>2</v>
      </c>
      <c r="D5">
        <v>4</v>
      </c>
      <c r="E5">
        <v>3</v>
      </c>
      <c r="F5">
        <v>4</v>
      </c>
      <c r="G5">
        <v>4</v>
      </c>
      <c r="H5">
        <v>4</v>
      </c>
      <c r="I5">
        <v>3</v>
      </c>
      <c r="J5">
        <v>3</v>
      </c>
      <c r="K5">
        <v>3</v>
      </c>
      <c r="L5">
        <v>4</v>
      </c>
      <c r="M5">
        <v>5</v>
      </c>
      <c r="N5">
        <v>5</v>
      </c>
      <c r="O5" s="39">
        <v>3</v>
      </c>
    </row>
    <row r="6" spans="1:15">
      <c r="A6" t="s">
        <v>21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 s="39">
        <v>3</v>
      </c>
    </row>
    <row r="7" spans="1:15">
      <c r="A7" t="s">
        <v>22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 s="39">
        <v>3</v>
      </c>
    </row>
    <row r="8" spans="1:15">
      <c r="A8" t="s">
        <v>23</v>
      </c>
      <c r="B8">
        <v>4</v>
      </c>
      <c r="C8">
        <v>4</v>
      </c>
      <c r="D8">
        <v>5</v>
      </c>
      <c r="E8">
        <v>5</v>
      </c>
      <c r="F8">
        <v>5</v>
      </c>
      <c r="G8">
        <v>4</v>
      </c>
      <c r="H8">
        <v>3</v>
      </c>
      <c r="I8">
        <v>3</v>
      </c>
      <c r="J8">
        <v>4</v>
      </c>
      <c r="K8">
        <v>4</v>
      </c>
      <c r="L8">
        <v>5</v>
      </c>
      <c r="M8">
        <v>5</v>
      </c>
      <c r="N8">
        <v>4</v>
      </c>
      <c r="O8" s="39">
        <v>4</v>
      </c>
    </row>
    <row r="9" spans="1:15">
      <c r="A9" t="s">
        <v>24</v>
      </c>
      <c r="B9">
        <v>4</v>
      </c>
      <c r="C9">
        <v>4</v>
      </c>
      <c r="D9">
        <v>4</v>
      </c>
      <c r="E9">
        <v>4</v>
      </c>
      <c r="F9">
        <v>3</v>
      </c>
      <c r="G9">
        <v>3</v>
      </c>
      <c r="H9">
        <v>3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 s="39">
        <v>3</v>
      </c>
    </row>
    <row r="10" spans="1:15">
      <c r="A10" t="s">
        <v>25</v>
      </c>
      <c r="B10">
        <v>3</v>
      </c>
      <c r="C10">
        <v>3</v>
      </c>
      <c r="D10">
        <v>4</v>
      </c>
      <c r="E10">
        <v>3</v>
      </c>
      <c r="F10">
        <v>4</v>
      </c>
      <c r="G10">
        <v>4</v>
      </c>
      <c r="H10">
        <v>3</v>
      </c>
      <c r="I10">
        <v>4</v>
      </c>
      <c r="J10">
        <v>3</v>
      </c>
      <c r="K10">
        <v>5</v>
      </c>
      <c r="L10">
        <v>3</v>
      </c>
      <c r="M10">
        <v>3</v>
      </c>
      <c r="N10">
        <v>4</v>
      </c>
      <c r="O10" s="39">
        <v>3</v>
      </c>
    </row>
    <row r="11" spans="1:15">
      <c r="A11" t="s">
        <v>26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3</v>
      </c>
      <c r="K11">
        <v>3</v>
      </c>
      <c r="L11">
        <v>3</v>
      </c>
      <c r="M11">
        <v>4</v>
      </c>
      <c r="N11">
        <v>4</v>
      </c>
      <c r="O11" s="39">
        <v>3</v>
      </c>
    </row>
    <row r="12" spans="1:15">
      <c r="A12" t="s">
        <v>27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4</v>
      </c>
      <c r="O12" s="39">
        <v>3</v>
      </c>
    </row>
    <row r="13" spans="1:15">
      <c r="A13" t="s">
        <v>28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 s="39">
        <v>3</v>
      </c>
    </row>
    <row r="14" spans="1:15">
      <c r="A14" t="s">
        <v>29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 s="39">
        <v>3</v>
      </c>
    </row>
    <row r="15" spans="1:15">
      <c r="A15" t="s">
        <v>30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4</v>
      </c>
      <c r="O15" s="39">
        <v>3</v>
      </c>
    </row>
    <row r="16" spans="1:15">
      <c r="A16" t="s">
        <v>31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4</v>
      </c>
      <c r="O16" s="40">
        <v>3</v>
      </c>
    </row>
    <row r="17" spans="1:15">
      <c r="A17" t="s">
        <v>32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4</v>
      </c>
      <c r="I17">
        <v>5</v>
      </c>
      <c r="J17">
        <v>5</v>
      </c>
      <c r="K17">
        <v>5</v>
      </c>
      <c r="L17">
        <v>5</v>
      </c>
      <c r="M17">
        <v>4</v>
      </c>
      <c r="N17">
        <v>5</v>
      </c>
      <c r="O17" s="39">
        <v>3</v>
      </c>
    </row>
    <row r="18" spans="1:15">
      <c r="A18" t="s">
        <v>33</v>
      </c>
      <c r="B18">
        <v>5</v>
      </c>
      <c r="C18">
        <v>4</v>
      </c>
      <c r="D18">
        <v>4</v>
      </c>
      <c r="E18">
        <v>5</v>
      </c>
      <c r="F18">
        <v>5</v>
      </c>
      <c r="G18">
        <v>5</v>
      </c>
      <c r="H18">
        <v>4</v>
      </c>
      <c r="I18">
        <v>5</v>
      </c>
      <c r="J18">
        <v>5</v>
      </c>
      <c r="K18">
        <v>4</v>
      </c>
      <c r="L18">
        <v>5</v>
      </c>
      <c r="M18">
        <v>5</v>
      </c>
      <c r="N18">
        <v>4</v>
      </c>
      <c r="O18" s="39">
        <v>4</v>
      </c>
    </row>
    <row r="19" spans="1:15">
      <c r="A19" t="s">
        <v>34</v>
      </c>
      <c r="B19">
        <v>5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5</v>
      </c>
      <c r="J19">
        <v>4</v>
      </c>
      <c r="K19">
        <v>5</v>
      </c>
      <c r="L19">
        <v>2</v>
      </c>
      <c r="M19">
        <v>2</v>
      </c>
      <c r="N19">
        <v>4</v>
      </c>
      <c r="O19" s="39">
        <v>3</v>
      </c>
    </row>
    <row r="20" spans="1:15">
      <c r="A20" t="s">
        <v>35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4</v>
      </c>
      <c r="O20" s="39">
        <v>3</v>
      </c>
    </row>
    <row r="21" spans="1:15">
      <c r="A21" t="s">
        <v>36</v>
      </c>
      <c r="B21">
        <v>5</v>
      </c>
      <c r="C21">
        <v>4</v>
      </c>
      <c r="D21">
        <v>4</v>
      </c>
      <c r="E21">
        <v>4</v>
      </c>
      <c r="F21">
        <v>4</v>
      </c>
      <c r="G21">
        <v>5</v>
      </c>
      <c r="H21">
        <v>4</v>
      </c>
      <c r="I21">
        <v>4</v>
      </c>
      <c r="J21">
        <v>5</v>
      </c>
      <c r="K21">
        <v>5</v>
      </c>
      <c r="L21">
        <v>4</v>
      </c>
      <c r="M21">
        <v>5</v>
      </c>
      <c r="N21">
        <v>4</v>
      </c>
      <c r="O21" s="39">
        <v>2</v>
      </c>
    </row>
    <row r="22" spans="1:15">
      <c r="A22" t="s">
        <v>37</v>
      </c>
      <c r="B22">
        <v>3</v>
      </c>
      <c r="C22">
        <v>3</v>
      </c>
      <c r="D22">
        <v>3</v>
      </c>
      <c r="E22">
        <v>3</v>
      </c>
      <c r="F22">
        <v>3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4</v>
      </c>
      <c r="O22" s="39">
        <v>3</v>
      </c>
    </row>
    <row r="23" spans="1:15">
      <c r="A23" t="s">
        <v>38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 s="39">
        <v>2</v>
      </c>
    </row>
    <row r="24" spans="1:15">
      <c r="A24" t="s">
        <v>39</v>
      </c>
      <c r="B24">
        <v>4</v>
      </c>
      <c r="C24">
        <v>2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 s="39">
        <v>3</v>
      </c>
    </row>
    <row r="25" spans="1:15">
      <c r="A25" t="s">
        <v>40</v>
      </c>
      <c r="B25">
        <v>5</v>
      </c>
      <c r="C25">
        <v>5</v>
      </c>
      <c r="D25">
        <v>5</v>
      </c>
      <c r="E25">
        <v>3</v>
      </c>
      <c r="F25">
        <v>4</v>
      </c>
      <c r="G25">
        <v>4</v>
      </c>
      <c r="H25">
        <v>3</v>
      </c>
      <c r="I25">
        <v>4</v>
      </c>
      <c r="J25">
        <v>4</v>
      </c>
      <c r="K25">
        <v>5</v>
      </c>
      <c r="L25">
        <v>3</v>
      </c>
      <c r="M25">
        <v>3</v>
      </c>
      <c r="N25">
        <v>5</v>
      </c>
      <c r="O25" s="39">
        <v>3</v>
      </c>
    </row>
    <row r="26" spans="1:15">
      <c r="A26" t="s">
        <v>41</v>
      </c>
      <c r="B26">
        <v>4</v>
      </c>
      <c r="C26">
        <v>4</v>
      </c>
      <c r="D26">
        <v>5</v>
      </c>
      <c r="E26">
        <v>3</v>
      </c>
      <c r="F26">
        <v>4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4</v>
      </c>
      <c r="O26" s="39">
        <v>3</v>
      </c>
    </row>
    <row r="27" spans="1:15">
      <c r="A27" t="s">
        <v>42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 s="39">
        <v>3</v>
      </c>
    </row>
    <row r="28" spans="1:15">
      <c r="A28" t="s">
        <v>43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 s="39">
        <v>3</v>
      </c>
    </row>
    <row r="29" spans="1:15">
      <c r="A29" t="s">
        <v>44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 s="39">
        <v>3</v>
      </c>
    </row>
    <row r="30" spans="1:15">
      <c r="A30" t="s">
        <v>46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5</v>
      </c>
      <c r="L30">
        <v>4</v>
      </c>
      <c r="M30">
        <v>4</v>
      </c>
      <c r="N30">
        <v>4</v>
      </c>
      <c r="O30" s="39">
        <v>3</v>
      </c>
    </row>
    <row r="31" spans="1:15">
      <c r="A31" t="s">
        <v>45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 s="39">
        <v>3</v>
      </c>
    </row>
    <row r="32" spans="1:15">
      <c r="A32" t="s">
        <v>47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 s="39">
        <v>3</v>
      </c>
    </row>
    <row r="33" spans="1:16">
      <c r="A33" t="s">
        <v>48</v>
      </c>
      <c r="B33">
        <v>3</v>
      </c>
      <c r="C33">
        <v>4</v>
      </c>
      <c r="D33">
        <v>4</v>
      </c>
      <c r="E33">
        <v>3</v>
      </c>
      <c r="F33">
        <v>3</v>
      </c>
      <c r="G33">
        <v>3</v>
      </c>
      <c r="H33">
        <v>3</v>
      </c>
      <c r="I33">
        <v>3</v>
      </c>
      <c r="J33">
        <v>4</v>
      </c>
      <c r="K33">
        <v>3</v>
      </c>
      <c r="L33">
        <v>4</v>
      </c>
      <c r="M33">
        <v>3</v>
      </c>
      <c r="N33">
        <v>4</v>
      </c>
      <c r="O33" s="39">
        <v>3</v>
      </c>
    </row>
    <row r="34" spans="1:16">
      <c r="A34" t="s">
        <v>49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 s="39">
        <v>4</v>
      </c>
    </row>
    <row r="35" spans="1:16">
      <c r="A35" t="s">
        <v>50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 s="39">
        <v>3</v>
      </c>
    </row>
    <row r="36" spans="1:16">
      <c r="A36" t="s">
        <v>51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 s="39">
        <v>4</v>
      </c>
    </row>
    <row r="37" spans="1:16">
      <c r="A37" t="s">
        <v>54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3</v>
      </c>
      <c r="O37" s="39">
        <v>3</v>
      </c>
    </row>
    <row r="38" spans="1:16">
      <c r="A38" t="s">
        <v>52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 s="39">
        <v>3</v>
      </c>
    </row>
    <row r="39" spans="1:16">
      <c r="A39" t="s">
        <v>53</v>
      </c>
      <c r="B39">
        <v>4</v>
      </c>
      <c r="C39">
        <v>4</v>
      </c>
      <c r="D39">
        <v>5</v>
      </c>
      <c r="E39">
        <v>4</v>
      </c>
      <c r="F39">
        <v>4</v>
      </c>
      <c r="G39">
        <v>5</v>
      </c>
      <c r="H39">
        <v>4</v>
      </c>
      <c r="I39">
        <v>5</v>
      </c>
      <c r="J39">
        <v>5</v>
      </c>
      <c r="K39">
        <v>5</v>
      </c>
      <c r="L39">
        <v>4</v>
      </c>
      <c r="M39">
        <v>4</v>
      </c>
      <c r="N39">
        <v>4</v>
      </c>
      <c r="O39" s="39">
        <v>3</v>
      </c>
    </row>
    <row r="40" spans="1:16">
      <c r="A40" t="s">
        <v>55</v>
      </c>
      <c r="B40">
        <v>4</v>
      </c>
      <c r="C40">
        <v>4</v>
      </c>
      <c r="D40">
        <v>4</v>
      </c>
      <c r="E40">
        <v>3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 s="39">
        <v>3</v>
      </c>
    </row>
    <row r="41" spans="1:16">
      <c r="A41" t="s">
        <v>56</v>
      </c>
      <c r="B41" s="12">
        <f t="shared" ref="B41:N41" si="0">AVERAGE(B5:B40)</f>
        <v>4.38888888888889</v>
      </c>
      <c r="C41" s="12">
        <f t="shared" si="0"/>
        <v>4.22222222222222</v>
      </c>
      <c r="D41" s="12">
        <f t="shared" si="0"/>
        <v>4.44444444444444</v>
      </c>
      <c r="E41" s="12">
        <f t="shared" si="0"/>
        <v>4.22222222222222</v>
      </c>
      <c r="F41" s="12">
        <f t="shared" si="0"/>
        <v>4.33333333333333</v>
      </c>
      <c r="G41" s="12">
        <f t="shared" si="0"/>
        <v>4.27777777777778</v>
      </c>
      <c r="H41" s="12">
        <f t="shared" si="0"/>
        <v>3.94444444444444</v>
      </c>
      <c r="I41" s="12">
        <f t="shared" si="0"/>
        <v>4.11111111111111</v>
      </c>
      <c r="J41" s="12">
        <f t="shared" si="0"/>
        <v>4.11111111111111</v>
      </c>
      <c r="K41" s="12">
        <f t="shared" si="0"/>
        <v>4.19444444444444</v>
      </c>
      <c r="L41" s="12">
        <f t="shared" si="0"/>
        <v>4.02777777777778</v>
      </c>
      <c r="M41" s="12">
        <f t="shared" si="0"/>
        <v>4.05555555555556</v>
      </c>
      <c r="N41" s="12">
        <f t="shared" si="0"/>
        <v>4.33333333333333</v>
      </c>
    </row>
    <row r="42" spans="1:16">
      <c r="A42" t="s">
        <v>371</v>
      </c>
      <c r="B42" s="12">
        <f t="shared" ref="B42:N42" si="1">_xlfn.STDEV.S(B5:B40)</f>
        <v>0.687761494281174</v>
      </c>
      <c r="C42" s="12">
        <f t="shared" si="1"/>
        <v>0.831903535311332</v>
      </c>
      <c r="D42" s="12">
        <f t="shared" si="1"/>
        <v>0.6068393265552</v>
      </c>
      <c r="E42" s="12">
        <f t="shared" si="1"/>
        <v>0.796819072889596</v>
      </c>
      <c r="F42" s="12">
        <f t="shared" si="1"/>
        <v>0.676123403782813</v>
      </c>
      <c r="G42" s="12">
        <f t="shared" si="1"/>
        <v>0.848902185551975</v>
      </c>
      <c r="H42" s="12">
        <f t="shared" si="1"/>
        <v>0.983998967608182</v>
      </c>
      <c r="I42" s="12">
        <f t="shared" si="1"/>
        <v>1.00790526135794</v>
      </c>
      <c r="J42" s="12">
        <f t="shared" si="1"/>
        <v>1.00790526135794</v>
      </c>
      <c r="K42" s="12">
        <f t="shared" si="1"/>
        <v>1.03701341620869</v>
      </c>
      <c r="L42" s="12">
        <f t="shared" si="1"/>
        <v>1.05522133388785</v>
      </c>
      <c r="M42" s="12">
        <f t="shared" si="1"/>
        <v>1.06755915043736</v>
      </c>
      <c r="N42" s="12">
        <f t="shared" si="1"/>
        <v>0.534522483824849</v>
      </c>
    </row>
    <row r="43" spans="1:16">
      <c r="A43" t="s">
        <v>372</v>
      </c>
      <c r="B43" s="12">
        <f t="shared" ref="B43:N43" si="2">COUNTIF(B5:B40,"&gt;=4")/COUNT(B5:B40)</f>
        <v>0.888888888888889</v>
      </c>
      <c r="C43" s="12">
        <f t="shared" si="2"/>
        <v>0.861111111111111</v>
      </c>
      <c r="D43" s="12">
        <f t="shared" si="2"/>
        <v>0.944444444444444</v>
      </c>
      <c r="E43" s="12">
        <f t="shared" si="2"/>
        <v>0.777777777777778</v>
      </c>
      <c r="F43" s="12">
        <f t="shared" si="2"/>
        <v>0.888888888888889</v>
      </c>
      <c r="G43" s="12">
        <f t="shared" si="2"/>
        <v>0.861111111111111</v>
      </c>
      <c r="H43" s="12">
        <f t="shared" si="2"/>
        <v>0.722222222222222</v>
      </c>
      <c r="I43" s="12">
        <f t="shared" si="2"/>
        <v>0.777777777777778</v>
      </c>
      <c r="J43" s="12">
        <f t="shared" si="2"/>
        <v>0.777777777777778</v>
      </c>
      <c r="K43" s="12">
        <f t="shared" si="2"/>
        <v>0.777777777777778</v>
      </c>
      <c r="L43" s="12">
        <f t="shared" si="2"/>
        <v>0.75</v>
      </c>
      <c r="M43" s="12">
        <f t="shared" si="2"/>
        <v>0.75</v>
      </c>
      <c r="N43" s="12">
        <f t="shared" si="2"/>
        <v>0.972222222222222</v>
      </c>
    </row>
    <row r="44" spans="1:16">
      <c r="O44" s="41">
        <f>COUNTIF(O5:O40,2)</f>
        <v>2</v>
      </c>
      <c r="P44" s="42" t="s">
        <v>373</v>
      </c>
    </row>
    <row r="45" spans="1:16">
      <c r="O45" s="43">
        <f>COUNTIF(O5:O40,3)</f>
        <v>30</v>
      </c>
      <c r="P45" s="42" t="s">
        <v>374</v>
      </c>
    </row>
    <row r="46" spans="1:16">
      <c r="O46" s="43">
        <f>COUNTIF(O5:O40,4)</f>
        <v>4</v>
      </c>
      <c r="P46" s="42" t="s">
        <v>375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4"/>
  <sheetViews>
    <sheetView zoomScale="130" zoomScaleNormal="130" topLeftCell="A9" workbookViewId="0">
      <selection activeCell="C51" sqref="C51"/>
    </sheetView>
  </sheetViews>
  <sheetFormatPr defaultColWidth="9" defaultRowHeight="13.5"/>
  <cols>
    <col min="1" max="1" width="40.2083333333333" customWidth="1"/>
    <col min="2" max="2" width="19" customWidth="1"/>
    <col min="3" max="3" width="23.9333333333333" customWidth="1"/>
    <col min="4" max="4" width="23.6416666666667" customWidth="1"/>
    <col min="5" max="5" width="19.5" customWidth="1"/>
    <col min="6" max="7" width="13.125" customWidth="1"/>
    <col min="14" max="14" width="12.625"/>
  </cols>
  <sheetData>
    <row r="1" ht="15" spans="1:14">
      <c r="A1" s="11" t="s">
        <v>376</v>
      </c>
    </row>
    <row r="3" spans="1:14">
      <c r="J3" s="22"/>
      <c r="K3" s="22"/>
      <c r="L3" s="22"/>
      <c r="M3" s="22"/>
    </row>
    <row r="4" spans="1:14">
      <c r="A4" s="2" t="s">
        <v>74</v>
      </c>
      <c r="B4" s="2" t="s">
        <v>377</v>
      </c>
      <c r="C4" s="2" t="s">
        <v>378</v>
      </c>
      <c r="D4" s="2" t="s">
        <v>379</v>
      </c>
      <c r="E4" s="2" t="s">
        <v>380</v>
      </c>
      <c r="F4" s="2" t="s">
        <v>381</v>
      </c>
      <c r="G4" s="2"/>
      <c r="H4" s="2" t="s">
        <v>74</v>
      </c>
      <c r="I4" s="22" t="s">
        <v>382</v>
      </c>
      <c r="J4" s="22" t="s">
        <v>383</v>
      </c>
      <c r="K4" s="22" t="s">
        <v>384</v>
      </c>
      <c r="L4" s="22" t="s">
        <v>385</v>
      </c>
      <c r="M4" s="22" t="s">
        <v>386</v>
      </c>
    </row>
    <row r="5" spans="1:14">
      <c r="A5" t="s">
        <v>21</v>
      </c>
      <c r="B5">
        <v>0</v>
      </c>
      <c r="C5">
        <v>40</v>
      </c>
      <c r="D5">
        <v>70</v>
      </c>
      <c r="E5">
        <v>88</v>
      </c>
      <c r="F5">
        <f t="shared" ref="F5:F22" si="0">(D5+E5)/2</f>
        <v>79</v>
      </c>
      <c r="H5" t="s">
        <v>21</v>
      </c>
      <c r="I5" s="22">
        <v>85</v>
      </c>
      <c r="J5" s="22">
        <v>80</v>
      </c>
      <c r="K5" s="22">
        <v>82</v>
      </c>
      <c r="L5" s="22">
        <v>78</v>
      </c>
      <c r="M5" s="22">
        <v>75</v>
      </c>
      <c r="N5">
        <f>IF(OR(AND(I5&gt;=60,J5&gt;=60,K5&gt;=60,L5&gt;=60,M5&gt;=60),AND(I5&lt;60,J5&lt;60,K5&lt;60,L5&lt;60,M5&lt;60)),1,0)</f>
        <v>1</v>
      </c>
    </row>
    <row r="6" spans="1:14">
      <c r="A6" t="s">
        <v>22</v>
      </c>
      <c r="B6">
        <v>1</v>
      </c>
      <c r="C6">
        <v>70</v>
      </c>
      <c r="D6">
        <v>90</v>
      </c>
      <c r="E6">
        <v>90</v>
      </c>
      <c r="F6">
        <f t="shared" si="0"/>
        <v>90</v>
      </c>
      <c r="H6" t="s">
        <v>22</v>
      </c>
      <c r="I6" s="22">
        <v>92</v>
      </c>
      <c r="J6" s="22">
        <v>95</v>
      </c>
      <c r="K6" s="22">
        <v>90</v>
      </c>
      <c r="L6" s="22">
        <v>95</v>
      </c>
      <c r="M6" s="22">
        <v>88</v>
      </c>
      <c r="N6">
        <f t="shared" ref="N6:N22" si="1">IF(OR(AND(I6&gt;=60,J6&gt;=60,K6&gt;=60,L6&gt;=60,M6&gt;=60),AND(I6&lt;60,J6&lt;60,K6&lt;60,L6&lt;60,M6&lt;60)),1,0)</f>
        <v>1</v>
      </c>
    </row>
    <row r="7" spans="1:14">
      <c r="A7" t="s">
        <v>23</v>
      </c>
      <c r="B7">
        <v>1</v>
      </c>
      <c r="C7">
        <v>65</v>
      </c>
      <c r="D7">
        <v>90</v>
      </c>
      <c r="E7">
        <v>92</v>
      </c>
      <c r="F7">
        <f t="shared" si="0"/>
        <v>91</v>
      </c>
      <c r="H7" t="s">
        <v>23</v>
      </c>
      <c r="I7" s="22">
        <v>92</v>
      </c>
      <c r="J7" s="22">
        <v>95</v>
      </c>
      <c r="K7" s="22">
        <v>90</v>
      </c>
      <c r="L7" s="22">
        <v>92</v>
      </c>
      <c r="M7" s="22">
        <v>88</v>
      </c>
      <c r="N7">
        <f t="shared" si="1"/>
        <v>1</v>
      </c>
    </row>
    <row r="8" spans="1:14">
      <c r="A8" t="s">
        <v>25</v>
      </c>
      <c r="B8">
        <v>0</v>
      </c>
      <c r="C8">
        <v>65</v>
      </c>
      <c r="D8">
        <v>90</v>
      </c>
      <c r="E8">
        <v>90</v>
      </c>
      <c r="F8">
        <f t="shared" si="0"/>
        <v>90</v>
      </c>
      <c r="H8" t="s">
        <v>25</v>
      </c>
      <c r="I8" s="22">
        <v>90</v>
      </c>
      <c r="J8" s="22">
        <v>88</v>
      </c>
      <c r="K8" s="22">
        <v>88</v>
      </c>
      <c r="L8" s="22">
        <v>90</v>
      </c>
      <c r="M8" s="22">
        <v>85</v>
      </c>
      <c r="N8">
        <f t="shared" si="1"/>
        <v>1</v>
      </c>
    </row>
    <row r="9" spans="1:14">
      <c r="A9" t="s">
        <v>26</v>
      </c>
      <c r="B9">
        <v>1</v>
      </c>
      <c r="C9">
        <v>65</v>
      </c>
      <c r="D9">
        <v>90</v>
      </c>
      <c r="E9">
        <v>90</v>
      </c>
      <c r="F9">
        <f t="shared" si="0"/>
        <v>90</v>
      </c>
      <c r="H9" t="s">
        <v>26</v>
      </c>
      <c r="I9" s="22">
        <v>92</v>
      </c>
      <c r="J9" s="22">
        <v>90</v>
      </c>
      <c r="K9" s="22">
        <v>88</v>
      </c>
      <c r="L9" s="22">
        <v>90</v>
      </c>
      <c r="M9" s="22">
        <v>85</v>
      </c>
      <c r="N9">
        <f t="shared" si="1"/>
        <v>1</v>
      </c>
    </row>
    <row r="10" spans="1:14">
      <c r="A10" t="s">
        <v>27</v>
      </c>
      <c r="B10">
        <v>1</v>
      </c>
      <c r="C10">
        <v>65</v>
      </c>
      <c r="D10">
        <v>90</v>
      </c>
      <c r="E10">
        <v>88</v>
      </c>
      <c r="F10">
        <f t="shared" si="0"/>
        <v>89</v>
      </c>
      <c r="H10" t="s">
        <v>27</v>
      </c>
      <c r="I10" s="22">
        <v>92</v>
      </c>
      <c r="J10" s="22">
        <v>85</v>
      </c>
      <c r="K10" s="22">
        <v>84</v>
      </c>
      <c r="L10" s="22">
        <v>92</v>
      </c>
      <c r="M10" s="22">
        <v>88</v>
      </c>
      <c r="N10">
        <f t="shared" si="1"/>
        <v>1</v>
      </c>
    </row>
    <row r="11" spans="1:14">
      <c r="A11" t="s">
        <v>28</v>
      </c>
      <c r="B11">
        <v>1</v>
      </c>
      <c r="C11">
        <v>65</v>
      </c>
      <c r="D11">
        <v>90</v>
      </c>
      <c r="E11">
        <v>88</v>
      </c>
      <c r="F11">
        <f t="shared" si="0"/>
        <v>89</v>
      </c>
      <c r="H11" t="s">
        <v>28</v>
      </c>
      <c r="I11" s="22">
        <v>92</v>
      </c>
      <c r="J11" s="22">
        <v>0</v>
      </c>
      <c r="K11" s="22">
        <v>84</v>
      </c>
      <c r="L11" s="22">
        <v>88</v>
      </c>
      <c r="M11" s="22">
        <v>85</v>
      </c>
      <c r="N11">
        <f t="shared" si="1"/>
        <v>0</v>
      </c>
    </row>
    <row r="12" spans="1:14">
      <c r="A12" t="s">
        <v>30</v>
      </c>
      <c r="B12">
        <v>1</v>
      </c>
      <c r="C12">
        <v>60</v>
      </c>
      <c r="D12">
        <v>90</v>
      </c>
      <c r="E12">
        <v>86</v>
      </c>
      <c r="F12">
        <f t="shared" si="0"/>
        <v>88</v>
      </c>
      <c r="H12" t="s">
        <v>30</v>
      </c>
      <c r="I12" s="22">
        <v>90</v>
      </c>
      <c r="J12" s="22">
        <v>20</v>
      </c>
      <c r="K12" s="22">
        <v>86</v>
      </c>
      <c r="L12" s="22">
        <v>92</v>
      </c>
      <c r="M12" s="22">
        <v>88</v>
      </c>
      <c r="N12">
        <f t="shared" si="1"/>
        <v>0</v>
      </c>
    </row>
    <row r="13" spans="1:14">
      <c r="A13" t="s">
        <v>31</v>
      </c>
      <c r="B13">
        <v>0</v>
      </c>
      <c r="C13">
        <v>40</v>
      </c>
      <c r="D13">
        <v>90</v>
      </c>
      <c r="E13">
        <v>86</v>
      </c>
      <c r="F13">
        <f t="shared" si="0"/>
        <v>88</v>
      </c>
      <c r="H13" t="s">
        <v>31</v>
      </c>
      <c r="I13" s="22">
        <v>90</v>
      </c>
      <c r="J13" s="22">
        <v>80</v>
      </c>
      <c r="K13" s="22">
        <v>84</v>
      </c>
      <c r="L13" s="22">
        <v>88</v>
      </c>
      <c r="M13" s="22">
        <v>85</v>
      </c>
      <c r="N13">
        <f t="shared" si="1"/>
        <v>1</v>
      </c>
    </row>
    <row r="14" spans="1:14">
      <c r="A14" t="s">
        <v>32</v>
      </c>
      <c r="B14">
        <v>0</v>
      </c>
      <c r="C14">
        <v>65</v>
      </c>
      <c r="D14">
        <v>15</v>
      </c>
      <c r="E14">
        <v>40</v>
      </c>
      <c r="F14">
        <f t="shared" si="0"/>
        <v>27.5</v>
      </c>
      <c r="H14" t="s">
        <v>32</v>
      </c>
      <c r="I14" s="22">
        <v>78</v>
      </c>
      <c r="J14" s="22">
        <v>15</v>
      </c>
      <c r="K14" s="22">
        <v>32</v>
      </c>
      <c r="L14" s="22">
        <v>5</v>
      </c>
      <c r="M14" s="22">
        <v>38</v>
      </c>
      <c r="N14">
        <f t="shared" si="1"/>
        <v>0</v>
      </c>
    </row>
    <row r="15" spans="1:14">
      <c r="A15" t="s">
        <v>33</v>
      </c>
      <c r="B15">
        <v>0</v>
      </c>
      <c r="C15">
        <v>65</v>
      </c>
      <c r="D15">
        <v>15</v>
      </c>
      <c r="E15">
        <v>40</v>
      </c>
      <c r="F15">
        <f t="shared" si="0"/>
        <v>27.5</v>
      </c>
      <c r="H15" t="s">
        <v>33</v>
      </c>
      <c r="I15" s="22">
        <v>78</v>
      </c>
      <c r="J15" s="22">
        <v>80</v>
      </c>
      <c r="K15" s="22">
        <v>32</v>
      </c>
      <c r="L15" s="22">
        <v>5</v>
      </c>
      <c r="M15" s="22">
        <v>38</v>
      </c>
      <c r="N15">
        <f t="shared" si="1"/>
        <v>0</v>
      </c>
    </row>
    <row r="16" spans="1:14">
      <c r="A16" t="s">
        <v>35</v>
      </c>
      <c r="B16">
        <v>0</v>
      </c>
      <c r="C16">
        <v>40</v>
      </c>
      <c r="D16">
        <v>15</v>
      </c>
      <c r="E16">
        <v>35</v>
      </c>
      <c r="F16">
        <f t="shared" si="0"/>
        <v>25</v>
      </c>
      <c r="H16" t="s">
        <v>35</v>
      </c>
      <c r="I16" s="22">
        <v>20</v>
      </c>
      <c r="J16" s="22">
        <v>80</v>
      </c>
      <c r="K16" s="22">
        <v>25</v>
      </c>
      <c r="L16" s="22">
        <v>5</v>
      </c>
      <c r="M16" s="22">
        <v>35</v>
      </c>
      <c r="N16">
        <f t="shared" si="1"/>
        <v>0</v>
      </c>
    </row>
    <row r="17" spans="1:14">
      <c r="A17" t="s">
        <v>36</v>
      </c>
      <c r="B17">
        <v>0</v>
      </c>
      <c r="C17">
        <v>60</v>
      </c>
      <c r="D17">
        <v>90</v>
      </c>
      <c r="E17">
        <v>80</v>
      </c>
      <c r="F17">
        <f t="shared" si="0"/>
        <v>85</v>
      </c>
      <c r="H17" t="s">
        <v>36</v>
      </c>
      <c r="I17" s="22">
        <v>90</v>
      </c>
      <c r="J17" s="22">
        <v>85</v>
      </c>
      <c r="K17" s="22">
        <v>78</v>
      </c>
      <c r="L17" s="22">
        <v>85</v>
      </c>
      <c r="M17" s="22">
        <v>85</v>
      </c>
      <c r="N17">
        <f t="shared" si="1"/>
        <v>1</v>
      </c>
    </row>
    <row r="18" spans="1:14">
      <c r="A18" t="s">
        <v>38</v>
      </c>
      <c r="B18">
        <v>1</v>
      </c>
      <c r="C18">
        <v>60</v>
      </c>
      <c r="D18">
        <v>90</v>
      </c>
      <c r="E18">
        <v>86</v>
      </c>
      <c r="F18">
        <f t="shared" si="0"/>
        <v>88</v>
      </c>
      <c r="H18" t="s">
        <v>38</v>
      </c>
      <c r="I18" s="29">
        <v>95</v>
      </c>
      <c r="J18" s="29">
        <v>93</v>
      </c>
      <c r="K18" s="29">
        <v>90</v>
      </c>
      <c r="L18" s="29">
        <v>95</v>
      </c>
      <c r="M18" s="29">
        <v>94</v>
      </c>
      <c r="N18">
        <f t="shared" si="1"/>
        <v>1</v>
      </c>
    </row>
    <row r="19" spans="1:14">
      <c r="A19" t="s">
        <v>43</v>
      </c>
      <c r="B19">
        <v>1</v>
      </c>
      <c r="C19">
        <v>40</v>
      </c>
      <c r="D19">
        <v>90</v>
      </c>
      <c r="E19">
        <v>84</v>
      </c>
      <c r="F19">
        <f t="shared" si="0"/>
        <v>87</v>
      </c>
      <c r="H19" t="s">
        <v>43</v>
      </c>
      <c r="I19" s="29">
        <v>85</v>
      </c>
      <c r="J19" s="29">
        <v>62</v>
      </c>
      <c r="K19" s="29">
        <v>70</v>
      </c>
      <c r="L19" s="29">
        <v>5</v>
      </c>
      <c r="M19" s="29">
        <v>55</v>
      </c>
      <c r="N19">
        <f t="shared" si="1"/>
        <v>0</v>
      </c>
    </row>
    <row r="20" spans="1:14">
      <c r="A20" t="s">
        <v>45</v>
      </c>
      <c r="B20">
        <v>0</v>
      </c>
      <c r="C20">
        <v>30</v>
      </c>
      <c r="D20">
        <v>30</v>
      </c>
      <c r="E20">
        <v>32</v>
      </c>
      <c r="F20">
        <f t="shared" si="0"/>
        <v>31</v>
      </c>
      <c r="H20" t="s">
        <v>45</v>
      </c>
      <c r="I20" s="29">
        <v>20</v>
      </c>
      <c r="J20" s="29">
        <v>12</v>
      </c>
      <c r="K20" s="29">
        <v>25</v>
      </c>
      <c r="L20" s="29">
        <v>5</v>
      </c>
      <c r="M20" s="29">
        <v>25</v>
      </c>
      <c r="N20">
        <f t="shared" si="1"/>
        <v>1</v>
      </c>
    </row>
    <row r="21" spans="1:14">
      <c r="A21" t="s">
        <v>51</v>
      </c>
      <c r="B21">
        <v>0</v>
      </c>
      <c r="C21">
        <v>60</v>
      </c>
      <c r="D21">
        <v>50</v>
      </c>
      <c r="E21">
        <v>72</v>
      </c>
      <c r="F21">
        <f t="shared" si="0"/>
        <v>61</v>
      </c>
      <c r="H21" t="s">
        <v>51</v>
      </c>
      <c r="I21" s="29">
        <v>70</v>
      </c>
      <c r="J21" s="29">
        <v>70</v>
      </c>
      <c r="K21" s="29">
        <v>90</v>
      </c>
      <c r="L21" s="29">
        <v>30</v>
      </c>
      <c r="M21" s="29">
        <v>94</v>
      </c>
      <c r="N21">
        <f t="shared" si="1"/>
        <v>0</v>
      </c>
    </row>
    <row r="22" spans="1:14">
      <c r="A22" t="s">
        <v>53</v>
      </c>
      <c r="B22">
        <v>1</v>
      </c>
      <c r="C22">
        <v>60</v>
      </c>
      <c r="D22">
        <v>90</v>
      </c>
      <c r="E22">
        <v>86</v>
      </c>
      <c r="F22">
        <f t="shared" si="0"/>
        <v>88</v>
      </c>
      <c r="H22" t="s">
        <v>53</v>
      </c>
      <c r="I22" s="29">
        <v>92</v>
      </c>
      <c r="J22" s="29">
        <v>93</v>
      </c>
      <c r="K22" s="29">
        <v>90</v>
      </c>
      <c r="L22" s="29">
        <v>95</v>
      </c>
      <c r="M22" s="29">
        <v>94</v>
      </c>
      <c r="N22">
        <f t="shared" si="1"/>
        <v>1</v>
      </c>
    </row>
    <row r="23" spans="1:14">
      <c r="A23" s="2" t="s">
        <v>352</v>
      </c>
      <c r="B23" s="2" t="s">
        <v>387</v>
      </c>
      <c r="C23" s="2" t="s">
        <v>388</v>
      </c>
      <c r="D23" s="2" t="s">
        <v>389</v>
      </c>
      <c r="I23" s="29"/>
      <c r="J23" s="29"/>
      <c r="K23" s="29"/>
      <c r="L23" s="29"/>
      <c r="M23" s="29"/>
      <c r="N23">
        <f>(1-SUM(N5:N22)/18)</f>
        <v>0.388888888888889</v>
      </c>
    </row>
    <row r="24" spans="1:14">
      <c r="A24" t="s">
        <v>390</v>
      </c>
      <c r="B24" s="12">
        <f>COUNTIF(B5:B22,1)</f>
        <v>9</v>
      </c>
      <c r="C24" s="12">
        <f>AVERAGEIF($B$5:$B$22,1,$F$5:$F$22)</f>
        <v>88.8888888888889</v>
      </c>
      <c r="D24" s="12">
        <f>AVERAGEIF($B$5:$B$22,1,$C$5:$C$22)</f>
        <v>61.1111111111111</v>
      </c>
      <c r="I24" s="29"/>
      <c r="J24" s="29"/>
      <c r="K24" s="29"/>
      <c r="L24" s="29"/>
      <c r="M24" s="29"/>
    </row>
    <row r="25" spans="1:14">
      <c r="A25" t="s">
        <v>391</v>
      </c>
      <c r="B25" s="12">
        <f>COUNTIF(B5:B22,0)</f>
        <v>9</v>
      </c>
      <c r="C25" s="12">
        <f>AVERAGEIF($B$5:$B$22,0,$F$5:$F$22)</f>
        <v>57.1111111111111</v>
      </c>
      <c r="D25" s="12">
        <f>AVERAGEIF($B$5:$B$22,0,$C$5:$C$22)</f>
        <v>51.6666666666667</v>
      </c>
      <c r="I25" s="29"/>
      <c r="J25" s="29"/>
      <c r="K25" s="29"/>
      <c r="L25" s="29"/>
      <c r="M25" s="29"/>
    </row>
    <row r="26" spans="1:14">
      <c r="I26" s="29"/>
      <c r="J26" s="29"/>
      <c r="K26" s="29"/>
      <c r="L26" s="29"/>
      <c r="M26" s="29"/>
    </row>
    <row r="28" spans="1:14">
      <c r="A28" s="2" t="s">
        <v>74</v>
      </c>
      <c r="B28" s="2" t="s">
        <v>392</v>
      </c>
      <c r="C28" s="2" t="s">
        <v>378</v>
      </c>
      <c r="D28" s="2" t="s">
        <v>379</v>
      </c>
      <c r="E28" s="2" t="s">
        <v>380</v>
      </c>
      <c r="F28" s="2" t="s">
        <v>381</v>
      </c>
      <c r="G28" s="2"/>
      <c r="H28" s="2" t="s">
        <v>74</v>
      </c>
      <c r="I28" s="22" t="s">
        <v>382</v>
      </c>
      <c r="J28" s="22" t="s">
        <v>383</v>
      </c>
      <c r="K28" s="22" t="s">
        <v>384</v>
      </c>
      <c r="L28" s="22" t="s">
        <v>385</v>
      </c>
      <c r="M28" s="22" t="s">
        <v>386</v>
      </c>
    </row>
    <row r="29" spans="1:14">
      <c r="A29" t="s">
        <v>21</v>
      </c>
      <c r="B29">
        <v>1</v>
      </c>
      <c r="C29">
        <v>40</v>
      </c>
      <c r="D29">
        <v>70</v>
      </c>
      <c r="E29">
        <v>88</v>
      </c>
      <c r="F29">
        <f t="shared" ref="F29:F46" si="2">(D29+E29)/2</f>
        <v>79</v>
      </c>
      <c r="H29" t="s">
        <v>21</v>
      </c>
      <c r="I29" s="22">
        <v>85</v>
      </c>
      <c r="J29" s="22">
        <v>80</v>
      </c>
      <c r="K29" s="22">
        <v>82</v>
      </c>
      <c r="L29" s="22">
        <v>78</v>
      </c>
      <c r="M29" s="22">
        <v>75</v>
      </c>
    </row>
    <row r="30" spans="1:14">
      <c r="A30" t="s">
        <v>22</v>
      </c>
      <c r="B30">
        <v>1</v>
      </c>
      <c r="C30">
        <v>70</v>
      </c>
      <c r="D30">
        <v>90</v>
      </c>
      <c r="E30">
        <v>90</v>
      </c>
      <c r="F30">
        <f t="shared" si="2"/>
        <v>90</v>
      </c>
      <c r="H30" t="s">
        <v>22</v>
      </c>
      <c r="I30" s="22">
        <v>92</v>
      </c>
      <c r="J30" s="22">
        <v>95</v>
      </c>
      <c r="K30" s="22">
        <v>90</v>
      </c>
      <c r="L30" s="22">
        <v>95</v>
      </c>
      <c r="M30" s="22">
        <v>88</v>
      </c>
    </row>
    <row r="31" spans="1:14">
      <c r="A31" t="s">
        <v>23</v>
      </c>
      <c r="B31">
        <v>1</v>
      </c>
      <c r="C31">
        <v>65</v>
      </c>
      <c r="D31">
        <v>90</v>
      </c>
      <c r="E31">
        <v>92</v>
      </c>
      <c r="F31">
        <f t="shared" si="2"/>
        <v>91</v>
      </c>
      <c r="H31" t="s">
        <v>23</v>
      </c>
      <c r="I31" s="22">
        <v>92</v>
      </c>
      <c r="J31" s="22">
        <v>95</v>
      </c>
      <c r="K31" s="22">
        <v>90</v>
      </c>
      <c r="L31" s="22">
        <v>92</v>
      </c>
      <c r="M31" s="22">
        <v>88</v>
      </c>
    </row>
    <row r="32" spans="1:14">
      <c r="A32" t="s">
        <v>25</v>
      </c>
      <c r="B32">
        <v>1</v>
      </c>
      <c r="C32">
        <v>65</v>
      </c>
      <c r="D32">
        <v>90</v>
      </c>
      <c r="E32">
        <v>90</v>
      </c>
      <c r="F32">
        <f t="shared" si="2"/>
        <v>90</v>
      </c>
      <c r="H32" t="s">
        <v>25</v>
      </c>
      <c r="I32" s="22">
        <v>90</v>
      </c>
      <c r="J32" s="22">
        <v>88</v>
      </c>
      <c r="K32" s="22">
        <v>88</v>
      </c>
      <c r="L32" s="22">
        <v>90</v>
      </c>
      <c r="M32" s="22">
        <v>85</v>
      </c>
    </row>
    <row r="33" spans="1:13">
      <c r="A33" t="s">
        <v>26</v>
      </c>
      <c r="B33">
        <v>1</v>
      </c>
      <c r="C33">
        <v>65</v>
      </c>
      <c r="D33">
        <v>90</v>
      </c>
      <c r="E33">
        <v>90</v>
      </c>
      <c r="F33">
        <f t="shared" si="2"/>
        <v>90</v>
      </c>
      <c r="H33" t="s">
        <v>26</v>
      </c>
      <c r="I33" s="22">
        <v>92</v>
      </c>
      <c r="J33" s="22">
        <v>90</v>
      </c>
      <c r="K33" s="22">
        <v>88</v>
      </c>
      <c r="L33" s="22">
        <v>90</v>
      </c>
      <c r="M33" s="22">
        <v>85</v>
      </c>
    </row>
    <row r="34" spans="1:13">
      <c r="A34" t="s">
        <v>27</v>
      </c>
      <c r="B34">
        <v>1</v>
      </c>
      <c r="C34">
        <v>65</v>
      </c>
      <c r="D34">
        <v>90</v>
      </c>
      <c r="E34">
        <v>88</v>
      </c>
      <c r="F34">
        <f t="shared" si="2"/>
        <v>89</v>
      </c>
      <c r="H34" t="s">
        <v>27</v>
      </c>
      <c r="I34" s="22">
        <v>92</v>
      </c>
      <c r="J34" s="22">
        <v>85</v>
      </c>
      <c r="K34" s="22">
        <v>84</v>
      </c>
      <c r="L34" s="22">
        <v>92</v>
      </c>
      <c r="M34" s="22">
        <v>88</v>
      </c>
    </row>
    <row r="35" spans="1:13">
      <c r="A35" t="s">
        <v>28</v>
      </c>
      <c r="B35">
        <v>1</v>
      </c>
      <c r="C35">
        <v>65</v>
      </c>
      <c r="D35">
        <v>90</v>
      </c>
      <c r="E35">
        <v>88</v>
      </c>
      <c r="F35">
        <f t="shared" si="2"/>
        <v>89</v>
      </c>
      <c r="H35" t="s">
        <v>28</v>
      </c>
      <c r="I35" s="22">
        <v>92</v>
      </c>
      <c r="J35" s="22">
        <v>0</v>
      </c>
      <c r="K35" s="22">
        <v>84</v>
      </c>
      <c r="L35" s="22">
        <v>88</v>
      </c>
      <c r="M35" s="22">
        <v>85</v>
      </c>
    </row>
    <row r="36" spans="1:13">
      <c r="A36" t="s">
        <v>30</v>
      </c>
      <c r="B36">
        <v>1</v>
      </c>
      <c r="C36">
        <v>60</v>
      </c>
      <c r="D36">
        <v>90</v>
      </c>
      <c r="E36">
        <v>86</v>
      </c>
      <c r="F36">
        <f t="shared" si="2"/>
        <v>88</v>
      </c>
      <c r="H36" t="s">
        <v>30</v>
      </c>
      <c r="I36" s="22">
        <v>90</v>
      </c>
      <c r="J36" s="22">
        <v>20</v>
      </c>
      <c r="K36" s="22">
        <v>86</v>
      </c>
      <c r="L36" s="22">
        <v>92</v>
      </c>
      <c r="M36" s="22">
        <v>88</v>
      </c>
    </row>
    <row r="37" spans="1:13">
      <c r="A37" t="s">
        <v>31</v>
      </c>
      <c r="B37">
        <v>1</v>
      </c>
      <c r="C37">
        <v>40</v>
      </c>
      <c r="D37">
        <v>90</v>
      </c>
      <c r="E37">
        <v>86</v>
      </c>
      <c r="F37">
        <f t="shared" si="2"/>
        <v>88</v>
      </c>
      <c r="H37" t="s">
        <v>31</v>
      </c>
      <c r="I37" s="22">
        <v>90</v>
      </c>
      <c r="J37" s="22">
        <v>80</v>
      </c>
      <c r="K37" s="22">
        <v>84</v>
      </c>
      <c r="L37" s="22">
        <v>88</v>
      </c>
      <c r="M37" s="22">
        <v>85</v>
      </c>
    </row>
    <row r="38" spans="1:13">
      <c r="A38" t="s">
        <v>32</v>
      </c>
      <c r="B38">
        <v>0</v>
      </c>
      <c r="C38">
        <v>65</v>
      </c>
      <c r="D38">
        <v>15</v>
      </c>
      <c r="E38">
        <v>40</v>
      </c>
      <c r="F38">
        <f t="shared" si="2"/>
        <v>27.5</v>
      </c>
      <c r="H38" t="s">
        <v>32</v>
      </c>
      <c r="I38" s="22">
        <v>78</v>
      </c>
      <c r="J38" s="22">
        <v>15</v>
      </c>
      <c r="K38" s="22">
        <v>32</v>
      </c>
      <c r="L38" s="22">
        <v>5</v>
      </c>
      <c r="M38" s="22">
        <v>38</v>
      </c>
    </row>
    <row r="39" spans="1:13">
      <c r="A39" t="s">
        <v>33</v>
      </c>
      <c r="B39">
        <v>0</v>
      </c>
      <c r="C39">
        <v>65</v>
      </c>
      <c r="D39">
        <v>15</v>
      </c>
      <c r="E39">
        <v>40</v>
      </c>
      <c r="F39">
        <f t="shared" si="2"/>
        <v>27.5</v>
      </c>
      <c r="H39" t="s">
        <v>33</v>
      </c>
      <c r="I39" s="22">
        <v>78</v>
      </c>
      <c r="J39" s="22">
        <v>80</v>
      </c>
      <c r="K39" s="22">
        <v>32</v>
      </c>
      <c r="L39" s="22">
        <v>5</v>
      </c>
      <c r="M39" s="22">
        <v>38</v>
      </c>
    </row>
    <row r="40" spans="1:13">
      <c r="A40" t="s">
        <v>35</v>
      </c>
      <c r="B40">
        <v>0</v>
      </c>
      <c r="C40">
        <v>40</v>
      </c>
      <c r="D40">
        <v>15</v>
      </c>
      <c r="E40">
        <v>35</v>
      </c>
      <c r="F40">
        <f t="shared" si="2"/>
        <v>25</v>
      </c>
      <c r="H40" t="s">
        <v>35</v>
      </c>
      <c r="I40" s="22">
        <v>20</v>
      </c>
      <c r="J40" s="22">
        <v>80</v>
      </c>
      <c r="K40" s="22">
        <v>25</v>
      </c>
      <c r="L40" s="22">
        <v>5</v>
      </c>
      <c r="M40" s="22">
        <v>35</v>
      </c>
    </row>
    <row r="41" spans="1:13">
      <c r="A41" t="s">
        <v>36</v>
      </c>
      <c r="B41">
        <v>1</v>
      </c>
      <c r="C41">
        <v>60</v>
      </c>
      <c r="D41">
        <v>90</v>
      </c>
      <c r="E41">
        <v>80</v>
      </c>
      <c r="F41">
        <f t="shared" si="2"/>
        <v>85</v>
      </c>
      <c r="H41" t="s">
        <v>36</v>
      </c>
      <c r="I41" s="22">
        <v>90</v>
      </c>
      <c r="J41" s="22">
        <v>85</v>
      </c>
      <c r="K41" s="22">
        <v>78</v>
      </c>
      <c r="L41" s="22">
        <v>85</v>
      </c>
      <c r="M41" s="22">
        <v>85</v>
      </c>
    </row>
    <row r="42" spans="1:13">
      <c r="A42" t="s">
        <v>38</v>
      </c>
      <c r="B42">
        <v>1</v>
      </c>
      <c r="C42">
        <v>60</v>
      </c>
      <c r="D42">
        <v>90</v>
      </c>
      <c r="E42">
        <v>86</v>
      </c>
      <c r="F42">
        <f t="shared" si="2"/>
        <v>88</v>
      </c>
      <c r="H42" t="s">
        <v>38</v>
      </c>
      <c r="I42" s="29">
        <v>95</v>
      </c>
      <c r="J42" s="29">
        <v>93</v>
      </c>
      <c r="K42" s="29">
        <v>90</v>
      </c>
      <c r="L42" s="29">
        <v>95</v>
      </c>
      <c r="M42" s="29">
        <v>94</v>
      </c>
    </row>
    <row r="43" spans="1:13">
      <c r="A43" t="s">
        <v>43</v>
      </c>
      <c r="B43">
        <v>1</v>
      </c>
      <c r="C43">
        <v>40</v>
      </c>
      <c r="D43">
        <v>90</v>
      </c>
      <c r="E43">
        <v>84</v>
      </c>
      <c r="F43">
        <f t="shared" si="2"/>
        <v>87</v>
      </c>
      <c r="H43" t="s">
        <v>43</v>
      </c>
      <c r="I43" s="29">
        <v>85</v>
      </c>
      <c r="J43" s="29">
        <v>62</v>
      </c>
      <c r="K43" s="29">
        <v>70</v>
      </c>
      <c r="L43" s="29">
        <v>5</v>
      </c>
      <c r="M43" s="29">
        <v>55</v>
      </c>
    </row>
    <row r="44" spans="1:13">
      <c r="A44" t="s">
        <v>45</v>
      </c>
      <c r="B44">
        <v>0</v>
      </c>
      <c r="C44">
        <v>30</v>
      </c>
      <c r="D44">
        <v>30</v>
      </c>
      <c r="E44">
        <v>32</v>
      </c>
      <c r="F44">
        <f t="shared" si="2"/>
        <v>31</v>
      </c>
      <c r="H44" t="s">
        <v>45</v>
      </c>
      <c r="I44" s="29">
        <v>20</v>
      </c>
      <c r="J44" s="29">
        <v>12</v>
      </c>
      <c r="K44" s="29">
        <v>25</v>
      </c>
      <c r="L44" s="29">
        <v>5</v>
      </c>
      <c r="M44" s="29">
        <v>25</v>
      </c>
    </row>
    <row r="45" spans="1:13">
      <c r="A45" t="s">
        <v>51</v>
      </c>
      <c r="B45">
        <v>0</v>
      </c>
      <c r="C45">
        <v>60</v>
      </c>
      <c r="D45">
        <v>50</v>
      </c>
      <c r="E45">
        <v>72</v>
      </c>
      <c r="F45">
        <f t="shared" si="2"/>
        <v>61</v>
      </c>
      <c r="H45" t="s">
        <v>51</v>
      </c>
      <c r="I45" s="29">
        <v>70</v>
      </c>
      <c r="J45" s="29">
        <v>70</v>
      </c>
      <c r="K45" s="29">
        <v>90</v>
      </c>
      <c r="L45" s="29">
        <v>30</v>
      </c>
      <c r="M45" s="29">
        <v>94</v>
      </c>
    </row>
    <row r="46" spans="1:13">
      <c r="A46" t="s">
        <v>53</v>
      </c>
      <c r="B46">
        <v>1</v>
      </c>
      <c r="C46">
        <v>60</v>
      </c>
      <c r="D46">
        <v>90</v>
      </c>
      <c r="E46">
        <v>86</v>
      </c>
      <c r="F46">
        <f t="shared" si="2"/>
        <v>88</v>
      </c>
      <c r="H46" t="s">
        <v>53</v>
      </c>
      <c r="I46" s="29">
        <v>92</v>
      </c>
      <c r="J46" s="29">
        <v>93</v>
      </c>
      <c r="K46" s="29">
        <v>90</v>
      </c>
      <c r="L46" s="29">
        <v>95</v>
      </c>
      <c r="M46" s="29">
        <v>94</v>
      </c>
    </row>
    <row r="47" spans="1:13">
      <c r="A47" s="2" t="s">
        <v>352</v>
      </c>
      <c r="B47" s="2" t="s">
        <v>387</v>
      </c>
      <c r="C47" s="2" t="s">
        <v>388</v>
      </c>
      <c r="D47" s="2" t="s">
        <v>389</v>
      </c>
      <c r="E47" s="2" t="s">
        <v>393</v>
      </c>
      <c r="F47" s="2" t="s">
        <v>394</v>
      </c>
      <c r="G47" s="2"/>
    </row>
    <row r="48" spans="1:13">
      <c r="A48" t="s">
        <v>395</v>
      </c>
      <c r="B48" s="12">
        <f>COUNTIF(B29:B46,1)</f>
        <v>13</v>
      </c>
      <c r="C48" s="30">
        <f>AVERAGEIF(B29:B46,1,F29:F46)</f>
        <v>87.8461538461538</v>
      </c>
      <c r="D48" s="30">
        <f>AVERAGEIF(B29:B46,1,C29:C46)</f>
        <v>58.0769230769231</v>
      </c>
      <c r="E48" s="30" cm="1">
        <f t="array" ref="E48">_xlfn.STDEV.S(IF(B29:B46=1,F29:F46))</f>
        <v>3.07804466737554</v>
      </c>
      <c r="F48" s="30" cm="1">
        <f t="array" ref="F48">_xlfn.STDEV.S(IF(B29:B46=1,C29:C46))</f>
        <v>10.7118434334894</v>
      </c>
      <c r="G48" s="30"/>
    </row>
    <row r="49" spans="1:39">
      <c r="A49" t="s">
        <v>396</v>
      </c>
      <c r="B49" s="12">
        <f>COUNTIF(B29:B46,0)</f>
        <v>5</v>
      </c>
      <c r="C49" s="30">
        <f>AVERAGEIF(B29:B46,0,F29:F46)</f>
        <v>34.4</v>
      </c>
      <c r="D49" s="30">
        <f>AVERAGEIF(B29:B46,0,C29:C46)</f>
        <v>52</v>
      </c>
      <c r="E49" s="30" cm="1">
        <f t="array" ref="E49">_xlfn.STDEV.S(IF(B29:B46=0,F29:F46))</f>
        <v>15.0224831502651</v>
      </c>
      <c r="F49" s="30" cm="1">
        <f t="array" ref="F49">_xlfn.STDEV.S(IF(B29:B46=0,C29:C46))</f>
        <v>16.0468065358812</v>
      </c>
      <c r="G49" s="30"/>
    </row>
    <row r="50" spans="1:39">
      <c r="A50" t="s">
        <v>397</v>
      </c>
      <c r="C50" s="10">
        <f>C48-C49</f>
        <v>53.4461538461538</v>
      </c>
      <c r="D50" s="10">
        <f>D48-D49</f>
        <v>6.07692307692308</v>
      </c>
    </row>
    <row r="55" spans="1:39">
      <c r="A55" t="s">
        <v>398</v>
      </c>
    </row>
    <row r="56" spans="1:39">
      <c r="A56" s="31" t="s">
        <v>399</v>
      </c>
      <c r="B56" s="31"/>
      <c r="C56" s="31"/>
      <c r="D56" s="31"/>
      <c r="E56" s="31"/>
      <c r="F56" s="31"/>
      <c r="G56" s="1"/>
      <c r="J56" s="32" t="s">
        <v>400</v>
      </c>
      <c r="K56" s="33"/>
      <c r="L56" s="33"/>
      <c r="M56" s="33"/>
      <c r="N56" s="33"/>
      <c r="O56" s="34"/>
      <c r="R56" s="32" t="s">
        <v>89</v>
      </c>
      <c r="S56" s="33"/>
      <c r="T56" s="33"/>
      <c r="U56" s="33"/>
      <c r="V56" s="33"/>
      <c r="W56" s="34"/>
      <c r="Z56" s="32" t="s">
        <v>385</v>
      </c>
      <c r="AA56" s="33"/>
      <c r="AB56" s="33"/>
      <c r="AC56" s="33"/>
      <c r="AD56" s="33"/>
      <c r="AE56" s="34"/>
      <c r="AH56" s="32" t="s">
        <v>386</v>
      </c>
      <c r="AI56" s="33"/>
      <c r="AJ56" s="33"/>
      <c r="AK56" s="33"/>
      <c r="AL56" s="33"/>
      <c r="AM56" s="34"/>
    </row>
    <row r="57" spans="1:39">
      <c r="A57" s="22" t="s">
        <v>10</v>
      </c>
      <c r="B57" s="22" t="s">
        <v>85</v>
      </c>
      <c r="C57" s="22" t="s">
        <v>6</v>
      </c>
      <c r="D57" s="22" t="s">
        <v>7</v>
      </c>
      <c r="E57" s="22" t="s">
        <v>8</v>
      </c>
      <c r="F57" s="22" t="s">
        <v>9</v>
      </c>
      <c r="G57" s="35"/>
      <c r="J57" s="22" t="s">
        <v>10</v>
      </c>
      <c r="K57" s="22" t="s">
        <v>85</v>
      </c>
      <c r="L57" s="22" t="s">
        <v>6</v>
      </c>
      <c r="M57" s="22" t="s">
        <v>7</v>
      </c>
      <c r="N57" s="22" t="s">
        <v>8</v>
      </c>
      <c r="O57" s="22" t="s">
        <v>9</v>
      </c>
      <c r="R57" s="22" t="s">
        <v>10</v>
      </c>
      <c r="S57" s="22" t="s">
        <v>85</v>
      </c>
      <c r="T57" s="22" t="s">
        <v>6</v>
      </c>
      <c r="U57" s="22" t="s">
        <v>7</v>
      </c>
      <c r="V57" s="22" t="s">
        <v>8</v>
      </c>
      <c r="W57" s="22" t="s">
        <v>9</v>
      </c>
      <c r="Z57" s="22" t="s">
        <v>10</v>
      </c>
      <c r="AA57" s="22" t="s">
        <v>85</v>
      </c>
      <c r="AB57" s="22" t="s">
        <v>6</v>
      </c>
      <c r="AC57" s="22" t="s">
        <v>7</v>
      </c>
      <c r="AD57" s="22" t="s">
        <v>8</v>
      </c>
      <c r="AE57" s="22" t="s">
        <v>9</v>
      </c>
      <c r="AH57" s="22" t="s">
        <v>10</v>
      </c>
      <c r="AI57" s="22" t="s">
        <v>85</v>
      </c>
      <c r="AJ57" s="22" t="s">
        <v>6</v>
      </c>
      <c r="AK57" s="22" t="s">
        <v>7</v>
      </c>
      <c r="AL57" s="22" t="s">
        <v>8</v>
      </c>
      <c r="AM57" s="22" t="s">
        <v>9</v>
      </c>
    </row>
    <row r="58" spans="1:39">
      <c r="A58" s="22" t="s">
        <v>401</v>
      </c>
      <c r="B58" s="22">
        <v>63.6</v>
      </c>
      <c r="C58" s="22">
        <v>55</v>
      </c>
      <c r="D58" s="22">
        <v>60</v>
      </c>
      <c r="E58" s="22">
        <v>95</v>
      </c>
      <c r="F58" s="22">
        <v>90</v>
      </c>
      <c r="G58" s="35"/>
      <c r="H58">
        <f>IF(OR(AND(C58&gt;=60,L58&gt;=60,T58&gt;=60,AB58&gt;=60,AJ58&gt;=60),AND(C58&lt;60,L58&lt;60,T58&lt;60,AB58&lt;60,AJ58&lt;60)),1,0)</f>
        <v>1</v>
      </c>
      <c r="I58">
        <f>IF(OR(AND(B58&gt;=60,K58&gt;=60,S58&gt;=60,AA58&gt;=60,AI58&gt;=60),AND(B58&lt;60,K58&lt;60,S58&lt;60,AA58&lt;60,AI58&lt;60)),1,0)</f>
        <v>0</v>
      </c>
      <c r="J58" s="22" t="s">
        <v>401</v>
      </c>
      <c r="K58" s="22">
        <v>52.6</v>
      </c>
      <c r="L58" s="22">
        <v>40</v>
      </c>
      <c r="M58" s="22">
        <v>50</v>
      </c>
      <c r="N58" s="22">
        <v>95</v>
      </c>
      <c r="O58" s="22">
        <v>90</v>
      </c>
      <c r="R58" s="22" t="s">
        <v>401</v>
      </c>
      <c r="S58" s="22">
        <v>58.4</v>
      </c>
      <c r="T58" s="22">
        <v>46</v>
      </c>
      <c r="U58" s="22">
        <v>65</v>
      </c>
      <c r="V58" s="22">
        <v>92</v>
      </c>
      <c r="W58" s="22">
        <v>85</v>
      </c>
      <c r="Z58" s="22" t="s">
        <v>401</v>
      </c>
      <c r="AA58" s="22">
        <v>49.2</v>
      </c>
      <c r="AB58" s="22">
        <v>38</v>
      </c>
      <c r="AC58" s="22">
        <v>45</v>
      </c>
      <c r="AD58" s="22">
        <v>95</v>
      </c>
      <c r="AE58" s="22">
        <v>75</v>
      </c>
      <c r="AH58" s="22" t="s">
        <v>401</v>
      </c>
      <c r="AI58" s="22">
        <v>58.8</v>
      </c>
      <c r="AJ58" s="22">
        <v>48</v>
      </c>
      <c r="AK58" s="22">
        <v>60</v>
      </c>
      <c r="AL58" s="22">
        <v>90</v>
      </c>
      <c r="AM58" s="22">
        <v>90</v>
      </c>
    </row>
    <row r="59" spans="1:39">
      <c r="A59" s="22" t="s">
        <v>402</v>
      </c>
      <c r="B59" s="22">
        <v>82.6</v>
      </c>
      <c r="C59" s="22">
        <v>85</v>
      </c>
      <c r="D59" s="22">
        <v>65</v>
      </c>
      <c r="E59" s="22">
        <v>95</v>
      </c>
      <c r="F59" s="22">
        <v>90</v>
      </c>
      <c r="G59" s="35"/>
      <c r="H59">
        <f t="shared" ref="H59:H93" si="3">IF(OR(AND(C59&gt;=60,L59&gt;=60,T59&gt;=60,AB59&gt;=60,AJ59&gt;=60),AND(C59&lt;60,L59&lt;60,T59&lt;60,AB59&lt;60,AJ59&lt;60)),1,0)</f>
        <v>1</v>
      </c>
      <c r="I59">
        <f t="shared" ref="I59:I93" si="4">IF(OR(AND(B59&gt;=60,K59&gt;=60,S59&gt;=60,AA59&gt;=60,AI59&gt;=60),AND(B59&lt;60,K59&lt;60,S59&lt;60,AA59&lt;60,AI59&lt;60)),1,0)</f>
        <v>1</v>
      </c>
      <c r="J59" s="22" t="s">
        <v>402</v>
      </c>
      <c r="K59" s="22">
        <v>79</v>
      </c>
      <c r="L59" s="22">
        <v>80</v>
      </c>
      <c r="M59" s="22">
        <v>62</v>
      </c>
      <c r="N59" s="22">
        <v>95</v>
      </c>
      <c r="O59" s="22">
        <v>90</v>
      </c>
      <c r="R59" s="22" t="s">
        <v>402</v>
      </c>
      <c r="S59" s="22">
        <v>81.1</v>
      </c>
      <c r="T59" s="22">
        <v>82</v>
      </c>
      <c r="U59" s="22">
        <v>70</v>
      </c>
      <c r="V59" s="22">
        <v>92</v>
      </c>
      <c r="W59" s="22">
        <v>86</v>
      </c>
      <c r="Z59" s="22" t="s">
        <v>402</v>
      </c>
      <c r="AA59" s="22">
        <v>75.6</v>
      </c>
      <c r="AB59" s="22">
        <v>78</v>
      </c>
      <c r="AC59" s="22">
        <v>58</v>
      </c>
      <c r="AD59" s="22">
        <v>90</v>
      </c>
      <c r="AE59" s="22">
        <v>80</v>
      </c>
      <c r="AH59" s="22" t="s">
        <v>402</v>
      </c>
      <c r="AI59" s="22">
        <v>75.4</v>
      </c>
      <c r="AJ59" s="22">
        <v>75</v>
      </c>
      <c r="AK59" s="22">
        <v>62</v>
      </c>
      <c r="AL59" s="22">
        <v>90</v>
      </c>
      <c r="AM59" s="22">
        <v>90</v>
      </c>
    </row>
    <row r="60" spans="1:39">
      <c r="A60" s="22" t="s">
        <v>403</v>
      </c>
      <c r="B60" s="22">
        <v>89.8</v>
      </c>
      <c r="C60" s="22">
        <v>92</v>
      </c>
      <c r="D60" s="22">
        <v>80</v>
      </c>
      <c r="E60" s="22">
        <v>95</v>
      </c>
      <c r="F60" s="22">
        <v>90</v>
      </c>
      <c r="G60" s="35"/>
      <c r="H60">
        <f t="shared" si="3"/>
        <v>1</v>
      </c>
      <c r="I60">
        <f t="shared" si="4"/>
        <v>1</v>
      </c>
      <c r="J60" s="22" t="s">
        <v>403</v>
      </c>
      <c r="K60" s="22">
        <v>93.8</v>
      </c>
      <c r="L60" s="22">
        <v>95</v>
      </c>
      <c r="M60" s="22">
        <v>90</v>
      </c>
      <c r="N60" s="22">
        <v>95</v>
      </c>
      <c r="O60" s="22">
        <v>92</v>
      </c>
      <c r="R60" s="22" t="s">
        <v>403</v>
      </c>
      <c r="S60" s="22">
        <v>89.1</v>
      </c>
      <c r="T60" s="22">
        <v>90</v>
      </c>
      <c r="U60" s="22">
        <v>85</v>
      </c>
      <c r="V60" s="22">
        <v>93</v>
      </c>
      <c r="W60" s="22">
        <v>87</v>
      </c>
      <c r="Z60" s="22" t="s">
        <v>403</v>
      </c>
      <c r="AA60" s="22">
        <v>91.8</v>
      </c>
      <c r="AB60" s="22">
        <v>95</v>
      </c>
      <c r="AC60" s="22">
        <v>88</v>
      </c>
      <c r="AD60" s="22">
        <v>90</v>
      </c>
      <c r="AE60" s="22">
        <v>80</v>
      </c>
      <c r="AH60" s="22" t="s">
        <v>403</v>
      </c>
      <c r="AI60" s="22">
        <v>86.4</v>
      </c>
      <c r="AJ60" s="22">
        <v>88</v>
      </c>
      <c r="AK60" s="22">
        <v>78</v>
      </c>
      <c r="AL60" s="22">
        <v>90</v>
      </c>
      <c r="AM60" s="22">
        <v>90</v>
      </c>
    </row>
    <row r="61" spans="1:39">
      <c r="A61" s="22" t="s">
        <v>404</v>
      </c>
      <c r="B61" s="22">
        <v>88.8</v>
      </c>
      <c r="C61" s="22">
        <v>92</v>
      </c>
      <c r="D61" s="22">
        <v>78</v>
      </c>
      <c r="E61" s="22">
        <v>90</v>
      </c>
      <c r="F61" s="22">
        <v>90</v>
      </c>
      <c r="G61" s="35"/>
      <c r="H61">
        <f t="shared" si="3"/>
        <v>1</v>
      </c>
      <c r="I61">
        <f t="shared" si="4"/>
        <v>1</v>
      </c>
      <c r="J61" s="22" t="s">
        <v>404</v>
      </c>
      <c r="K61" s="22">
        <v>93.4</v>
      </c>
      <c r="L61" s="22">
        <v>95</v>
      </c>
      <c r="M61" s="22">
        <v>88</v>
      </c>
      <c r="N61" s="22">
        <v>95</v>
      </c>
      <c r="O61" s="22">
        <v>92</v>
      </c>
      <c r="R61" s="22" t="s">
        <v>404</v>
      </c>
      <c r="S61" s="22">
        <v>89.4</v>
      </c>
      <c r="T61" s="22">
        <v>90</v>
      </c>
      <c r="U61" s="22">
        <v>88</v>
      </c>
      <c r="V61" s="22">
        <v>90</v>
      </c>
      <c r="W61" s="22">
        <v>87</v>
      </c>
      <c r="Z61" s="22" t="s">
        <v>404</v>
      </c>
      <c r="AA61" s="22">
        <v>90.8</v>
      </c>
      <c r="AB61" s="22">
        <v>92</v>
      </c>
      <c r="AC61" s="22">
        <v>92</v>
      </c>
      <c r="AD61" s="22">
        <v>90</v>
      </c>
      <c r="AE61" s="22">
        <v>80</v>
      </c>
      <c r="AH61" s="22" t="s">
        <v>404</v>
      </c>
      <c r="AI61" s="22">
        <v>87.2</v>
      </c>
      <c r="AJ61" s="22">
        <v>88</v>
      </c>
      <c r="AK61" s="22">
        <v>82</v>
      </c>
      <c r="AL61" s="22">
        <v>90</v>
      </c>
      <c r="AM61" s="22">
        <v>90</v>
      </c>
    </row>
    <row r="62" spans="1:39">
      <c r="A62" s="22" t="s">
        <v>405</v>
      </c>
      <c r="B62" s="22">
        <v>86.6</v>
      </c>
      <c r="C62" s="22">
        <v>90</v>
      </c>
      <c r="D62" s="22">
        <v>70</v>
      </c>
      <c r="E62" s="22">
        <v>95</v>
      </c>
      <c r="F62" s="22">
        <v>90</v>
      </c>
      <c r="G62" s="35"/>
      <c r="H62">
        <f t="shared" si="3"/>
        <v>1</v>
      </c>
      <c r="I62">
        <f t="shared" si="4"/>
        <v>1</v>
      </c>
      <c r="J62" s="22" t="s">
        <v>405</v>
      </c>
      <c r="K62" s="22">
        <v>79</v>
      </c>
      <c r="L62" s="22">
        <v>78</v>
      </c>
      <c r="M62" s="22">
        <v>68</v>
      </c>
      <c r="N62" s="22">
        <v>95</v>
      </c>
      <c r="O62" s="22">
        <v>90</v>
      </c>
      <c r="R62" s="22" t="s">
        <v>405</v>
      </c>
      <c r="S62" s="22">
        <v>83.4</v>
      </c>
      <c r="T62" s="22">
        <v>85</v>
      </c>
      <c r="U62" s="22">
        <v>72</v>
      </c>
      <c r="V62" s="22">
        <v>93</v>
      </c>
      <c r="W62" s="22">
        <v>86</v>
      </c>
      <c r="Z62" s="22" t="s">
        <v>405</v>
      </c>
      <c r="AA62" s="22">
        <v>88</v>
      </c>
      <c r="AB62" s="22">
        <v>90</v>
      </c>
      <c r="AC62" s="22">
        <v>78</v>
      </c>
      <c r="AD62" s="22">
        <v>100</v>
      </c>
      <c r="AE62" s="22">
        <v>80</v>
      </c>
      <c r="AH62" s="22" t="s">
        <v>405</v>
      </c>
      <c r="AI62" s="22">
        <v>86.4</v>
      </c>
      <c r="AJ62" s="22">
        <v>88</v>
      </c>
      <c r="AK62" s="22">
        <v>78</v>
      </c>
      <c r="AL62" s="22">
        <v>90</v>
      </c>
      <c r="AM62" s="22">
        <v>90</v>
      </c>
    </row>
    <row r="63" spans="1:39">
      <c r="A63" s="22" t="s">
        <v>406</v>
      </c>
      <c r="B63" s="22">
        <v>87</v>
      </c>
      <c r="C63" s="22">
        <v>90</v>
      </c>
      <c r="D63" s="22">
        <v>72</v>
      </c>
      <c r="E63" s="22">
        <v>95</v>
      </c>
      <c r="F63" s="22">
        <v>90</v>
      </c>
      <c r="G63" s="35"/>
      <c r="H63">
        <f t="shared" si="3"/>
        <v>1</v>
      </c>
      <c r="I63">
        <f t="shared" si="4"/>
        <v>1</v>
      </c>
      <c r="J63" s="22" t="s">
        <v>406</v>
      </c>
      <c r="K63" s="22">
        <v>87.8</v>
      </c>
      <c r="L63" s="22">
        <v>88</v>
      </c>
      <c r="M63" s="22">
        <v>82</v>
      </c>
      <c r="N63" s="22">
        <v>95</v>
      </c>
      <c r="O63" s="22">
        <v>90</v>
      </c>
      <c r="R63" s="22" t="s">
        <v>406</v>
      </c>
      <c r="S63" s="22">
        <v>87.1</v>
      </c>
      <c r="T63" s="22">
        <v>88</v>
      </c>
      <c r="U63" s="22">
        <v>82</v>
      </c>
      <c r="V63" s="22">
        <v>92</v>
      </c>
      <c r="W63" s="22">
        <v>86</v>
      </c>
      <c r="Z63" s="22" t="s">
        <v>406</v>
      </c>
      <c r="AA63" s="22">
        <v>86.2</v>
      </c>
      <c r="AB63" s="22">
        <v>90</v>
      </c>
      <c r="AC63" s="22">
        <v>75</v>
      </c>
      <c r="AD63" s="22">
        <v>90</v>
      </c>
      <c r="AE63" s="22">
        <v>80</v>
      </c>
      <c r="AH63" s="22" t="s">
        <v>406</v>
      </c>
      <c r="AI63" s="22">
        <v>84.6</v>
      </c>
      <c r="AJ63" s="22">
        <v>85</v>
      </c>
      <c r="AK63" s="22">
        <v>78</v>
      </c>
      <c r="AL63" s="22">
        <v>90</v>
      </c>
      <c r="AM63" s="22">
        <v>90</v>
      </c>
    </row>
    <row r="64" spans="1:39">
      <c r="A64" s="22" t="s">
        <v>407</v>
      </c>
      <c r="B64" s="22">
        <v>89.4</v>
      </c>
      <c r="C64" s="22">
        <v>92</v>
      </c>
      <c r="D64" s="22">
        <v>78</v>
      </c>
      <c r="E64" s="22">
        <v>95</v>
      </c>
      <c r="F64" s="22">
        <v>90</v>
      </c>
      <c r="G64" s="35"/>
      <c r="H64">
        <f t="shared" si="3"/>
        <v>1</v>
      </c>
      <c r="I64">
        <f t="shared" si="4"/>
        <v>1</v>
      </c>
      <c r="J64" s="22" t="s">
        <v>407</v>
      </c>
      <c r="K64" s="22">
        <v>89</v>
      </c>
      <c r="L64" s="22">
        <v>90</v>
      </c>
      <c r="M64" s="22">
        <v>82</v>
      </c>
      <c r="N64" s="22">
        <v>95</v>
      </c>
      <c r="O64" s="22">
        <v>90</v>
      </c>
      <c r="R64" s="22" t="s">
        <v>407</v>
      </c>
      <c r="S64" s="22">
        <v>86.3</v>
      </c>
      <c r="T64" s="22">
        <v>88</v>
      </c>
      <c r="U64" s="22">
        <v>78</v>
      </c>
      <c r="V64" s="22">
        <v>92</v>
      </c>
      <c r="W64" s="22">
        <v>86</v>
      </c>
      <c r="Z64" s="22" t="s">
        <v>407</v>
      </c>
      <c r="AA64" s="22">
        <v>85.2</v>
      </c>
      <c r="AB64" s="22">
        <v>90</v>
      </c>
      <c r="AC64" s="22">
        <v>70</v>
      </c>
      <c r="AD64" s="22">
        <v>90</v>
      </c>
      <c r="AE64" s="22">
        <v>80</v>
      </c>
      <c r="AH64" s="22" t="s">
        <v>407</v>
      </c>
      <c r="AI64" s="22">
        <v>84</v>
      </c>
      <c r="AJ64" s="22">
        <v>85</v>
      </c>
      <c r="AK64" s="22">
        <v>75</v>
      </c>
      <c r="AL64" s="22">
        <v>90</v>
      </c>
      <c r="AM64" s="22">
        <v>90</v>
      </c>
    </row>
    <row r="65" spans="1:39">
      <c r="A65" s="22" t="s">
        <v>408</v>
      </c>
      <c r="B65" s="22">
        <v>89.4</v>
      </c>
      <c r="C65" s="22">
        <v>92</v>
      </c>
      <c r="D65" s="22">
        <v>78</v>
      </c>
      <c r="E65" s="22">
        <v>95</v>
      </c>
      <c r="F65" s="22">
        <v>90</v>
      </c>
      <c r="G65" s="35"/>
      <c r="H65">
        <f t="shared" si="3"/>
        <v>1</v>
      </c>
      <c r="I65">
        <f t="shared" si="4"/>
        <v>1</v>
      </c>
      <c r="J65" s="22" t="s">
        <v>408</v>
      </c>
      <c r="K65" s="22">
        <v>85.2</v>
      </c>
      <c r="L65" s="22">
        <v>85</v>
      </c>
      <c r="M65" s="22">
        <v>78</v>
      </c>
      <c r="N65" s="22">
        <v>95</v>
      </c>
      <c r="O65" s="22">
        <v>90</v>
      </c>
      <c r="R65" s="22" t="s">
        <v>408</v>
      </c>
      <c r="S65" s="22">
        <v>84.1</v>
      </c>
      <c r="T65" s="22">
        <v>84</v>
      </c>
      <c r="U65" s="22">
        <v>80</v>
      </c>
      <c r="V65" s="22">
        <v>90</v>
      </c>
      <c r="W65" s="22">
        <v>86</v>
      </c>
      <c r="Z65" s="22" t="s">
        <v>408</v>
      </c>
      <c r="AA65" s="22">
        <v>90.4</v>
      </c>
      <c r="AB65" s="22">
        <v>92</v>
      </c>
      <c r="AC65" s="22">
        <v>90</v>
      </c>
      <c r="AD65" s="22">
        <v>90</v>
      </c>
      <c r="AE65" s="22">
        <v>80</v>
      </c>
      <c r="AH65" s="22" t="s">
        <v>408</v>
      </c>
      <c r="AI65" s="22">
        <v>87.2</v>
      </c>
      <c r="AJ65" s="22">
        <v>88</v>
      </c>
      <c r="AK65" s="22">
        <v>82</v>
      </c>
      <c r="AL65" s="22">
        <v>90</v>
      </c>
      <c r="AM65" s="22">
        <v>90</v>
      </c>
    </row>
    <row r="66" spans="1:39">
      <c r="A66" s="22" t="s">
        <v>409</v>
      </c>
      <c r="B66" s="22">
        <v>87.8</v>
      </c>
      <c r="C66" s="22">
        <v>92</v>
      </c>
      <c r="D66" s="22">
        <v>70</v>
      </c>
      <c r="E66" s="22">
        <v>95</v>
      </c>
      <c r="F66" s="22">
        <v>90</v>
      </c>
      <c r="G66" s="35"/>
      <c r="H66">
        <f t="shared" si="3"/>
        <v>0</v>
      </c>
      <c r="I66">
        <f t="shared" si="4"/>
        <v>0</v>
      </c>
      <c r="J66" s="22" t="s">
        <v>409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R66" s="22" t="s">
        <v>409</v>
      </c>
      <c r="S66" s="22">
        <v>83.1</v>
      </c>
      <c r="T66" s="22">
        <v>84</v>
      </c>
      <c r="U66" s="22">
        <v>75</v>
      </c>
      <c r="V66" s="22">
        <v>90</v>
      </c>
      <c r="W66" s="22">
        <v>86</v>
      </c>
      <c r="Z66" s="22" t="s">
        <v>409</v>
      </c>
      <c r="AA66" s="22">
        <v>84.4</v>
      </c>
      <c r="AB66" s="22">
        <v>88</v>
      </c>
      <c r="AC66" s="22">
        <v>72</v>
      </c>
      <c r="AD66" s="22">
        <v>90</v>
      </c>
      <c r="AE66" s="22">
        <v>80</v>
      </c>
      <c r="AH66" s="22" t="s">
        <v>409</v>
      </c>
      <c r="AI66" s="22">
        <v>84.2</v>
      </c>
      <c r="AJ66" s="22">
        <v>85</v>
      </c>
      <c r="AK66" s="22">
        <v>76</v>
      </c>
      <c r="AL66" s="22">
        <v>90</v>
      </c>
      <c r="AM66" s="22">
        <v>90</v>
      </c>
    </row>
    <row r="67" spans="1:39">
      <c r="A67" s="22" t="s">
        <v>410</v>
      </c>
      <c r="B67" s="22">
        <v>8</v>
      </c>
      <c r="C67" s="22">
        <v>10</v>
      </c>
      <c r="D67" s="22">
        <v>5</v>
      </c>
      <c r="E67" s="22">
        <v>5</v>
      </c>
      <c r="F67" s="22">
        <v>5</v>
      </c>
      <c r="G67" s="35"/>
      <c r="H67">
        <f t="shared" si="3"/>
        <v>0</v>
      </c>
      <c r="I67">
        <f t="shared" si="4"/>
        <v>0</v>
      </c>
      <c r="J67" s="22" t="s">
        <v>410</v>
      </c>
      <c r="K67" s="22">
        <v>81.6</v>
      </c>
      <c r="L67" s="22">
        <v>80</v>
      </c>
      <c r="M67" s="22">
        <v>75</v>
      </c>
      <c r="N67" s="22">
        <v>95</v>
      </c>
      <c r="O67" s="22">
        <v>90</v>
      </c>
      <c r="R67" s="22" t="s">
        <v>410</v>
      </c>
      <c r="S67" s="22">
        <v>5</v>
      </c>
      <c r="T67" s="22">
        <v>5</v>
      </c>
      <c r="U67" s="22">
        <v>5</v>
      </c>
      <c r="V67" s="22">
        <v>5</v>
      </c>
      <c r="W67" s="22">
        <v>5</v>
      </c>
      <c r="Z67" s="22" t="s">
        <v>410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H67" s="22" t="s">
        <v>410</v>
      </c>
      <c r="AI67" s="22">
        <v>8.8</v>
      </c>
      <c r="AJ67" s="22">
        <v>8</v>
      </c>
      <c r="AK67" s="22">
        <v>10</v>
      </c>
      <c r="AL67" s="22">
        <v>10</v>
      </c>
      <c r="AM67" s="22">
        <v>10</v>
      </c>
    </row>
    <row r="68" spans="1:39">
      <c r="A68" s="22" t="s">
        <v>411</v>
      </c>
      <c r="B68" s="22">
        <v>89</v>
      </c>
      <c r="C68" s="22">
        <v>90</v>
      </c>
      <c r="D68" s="22">
        <v>82</v>
      </c>
      <c r="E68" s="22">
        <v>95</v>
      </c>
      <c r="F68" s="22">
        <v>90</v>
      </c>
      <c r="G68" s="35"/>
      <c r="H68">
        <f t="shared" si="3"/>
        <v>0</v>
      </c>
      <c r="I68">
        <f t="shared" si="4"/>
        <v>0</v>
      </c>
      <c r="J68" s="22" t="s">
        <v>411</v>
      </c>
      <c r="K68" s="22">
        <v>33</v>
      </c>
      <c r="L68" s="22">
        <v>20</v>
      </c>
      <c r="M68" s="22">
        <v>15</v>
      </c>
      <c r="N68" s="22">
        <v>90</v>
      </c>
      <c r="O68" s="22">
        <v>90</v>
      </c>
      <c r="R68" s="22" t="s">
        <v>411</v>
      </c>
      <c r="S68" s="22">
        <v>86.7</v>
      </c>
      <c r="T68" s="22">
        <v>86</v>
      </c>
      <c r="U68" s="22">
        <v>85</v>
      </c>
      <c r="V68" s="22">
        <v>93</v>
      </c>
      <c r="W68" s="22">
        <v>87</v>
      </c>
      <c r="Z68" s="22" t="s">
        <v>411</v>
      </c>
      <c r="AA68" s="22">
        <v>91.6</v>
      </c>
      <c r="AB68" s="22">
        <v>92</v>
      </c>
      <c r="AC68" s="22">
        <v>90</v>
      </c>
      <c r="AD68" s="22">
        <v>100</v>
      </c>
      <c r="AE68" s="22">
        <v>80</v>
      </c>
      <c r="AH68" s="22" t="s">
        <v>411</v>
      </c>
      <c r="AI68" s="22">
        <v>87.2</v>
      </c>
      <c r="AJ68" s="22">
        <v>88</v>
      </c>
      <c r="AK68" s="22">
        <v>82</v>
      </c>
      <c r="AL68" s="22">
        <v>90</v>
      </c>
      <c r="AM68" s="22">
        <v>90</v>
      </c>
    </row>
    <row r="69" spans="1:39">
      <c r="A69" s="22" t="s">
        <v>412</v>
      </c>
      <c r="B69" s="22">
        <v>86.6</v>
      </c>
      <c r="C69" s="22">
        <v>90</v>
      </c>
      <c r="D69" s="22">
        <v>70</v>
      </c>
      <c r="E69" s="22">
        <v>95</v>
      </c>
      <c r="F69" s="22">
        <v>90</v>
      </c>
      <c r="G69" s="35"/>
      <c r="H69">
        <f t="shared" si="3"/>
        <v>1</v>
      </c>
      <c r="I69">
        <f t="shared" si="4"/>
        <v>1</v>
      </c>
      <c r="J69" s="22" t="s">
        <v>412</v>
      </c>
      <c r="K69" s="22">
        <v>79.6</v>
      </c>
      <c r="L69" s="22">
        <v>80</v>
      </c>
      <c r="M69" s="22">
        <v>65</v>
      </c>
      <c r="N69" s="22">
        <v>95</v>
      </c>
      <c r="O69" s="22">
        <v>90</v>
      </c>
      <c r="R69" s="22" t="s">
        <v>412</v>
      </c>
      <c r="S69" s="22">
        <v>82.4</v>
      </c>
      <c r="T69" s="22">
        <v>84</v>
      </c>
      <c r="U69" s="22">
        <v>70</v>
      </c>
      <c r="V69" s="22">
        <v>93</v>
      </c>
      <c r="W69" s="22">
        <v>86</v>
      </c>
      <c r="Z69" s="22" t="s">
        <v>412</v>
      </c>
      <c r="AA69" s="22">
        <v>86.2</v>
      </c>
      <c r="AB69" s="22">
        <v>88</v>
      </c>
      <c r="AC69" s="22">
        <v>75</v>
      </c>
      <c r="AD69" s="22">
        <v>100</v>
      </c>
      <c r="AE69" s="22">
        <v>80</v>
      </c>
      <c r="AH69" s="22" t="s">
        <v>412</v>
      </c>
      <c r="AI69" s="22">
        <v>84</v>
      </c>
      <c r="AJ69" s="22">
        <v>85</v>
      </c>
      <c r="AK69" s="22">
        <v>75</v>
      </c>
      <c r="AL69" s="22">
        <v>90</v>
      </c>
      <c r="AM69" s="22">
        <v>90</v>
      </c>
    </row>
    <row r="70" spans="1:39">
      <c r="A70" s="22" t="s">
        <v>413</v>
      </c>
      <c r="B70" s="22">
        <v>75.4</v>
      </c>
      <c r="C70" s="22">
        <v>78</v>
      </c>
      <c r="D70" s="22">
        <v>50</v>
      </c>
      <c r="E70" s="22">
        <v>95</v>
      </c>
      <c r="F70" s="22">
        <v>90</v>
      </c>
      <c r="G70" s="35"/>
      <c r="H70">
        <f t="shared" si="3"/>
        <v>0</v>
      </c>
      <c r="I70">
        <f t="shared" si="4"/>
        <v>0</v>
      </c>
      <c r="J70" s="22" t="s">
        <v>413</v>
      </c>
      <c r="K70" s="22">
        <v>30</v>
      </c>
      <c r="L70" s="22">
        <v>15</v>
      </c>
      <c r="M70" s="22">
        <v>15</v>
      </c>
      <c r="N70" s="22">
        <v>90</v>
      </c>
      <c r="O70" s="22">
        <v>90</v>
      </c>
      <c r="R70" s="22" t="s">
        <v>413</v>
      </c>
      <c r="S70" s="22">
        <v>31</v>
      </c>
      <c r="T70" s="22">
        <v>32</v>
      </c>
      <c r="U70" s="22">
        <v>25</v>
      </c>
      <c r="V70" s="22">
        <v>30</v>
      </c>
      <c r="W70" s="22">
        <v>40</v>
      </c>
      <c r="Z70" s="22" t="s">
        <v>413</v>
      </c>
      <c r="AA70" s="22">
        <v>8.6</v>
      </c>
      <c r="AB70" s="22">
        <v>5</v>
      </c>
      <c r="AC70" s="22">
        <v>10</v>
      </c>
      <c r="AD70" s="22">
        <v>20</v>
      </c>
      <c r="AE70" s="22">
        <v>15</v>
      </c>
      <c r="AH70" s="22" t="s">
        <v>413</v>
      </c>
      <c r="AI70" s="22">
        <v>48.6</v>
      </c>
      <c r="AJ70" s="22">
        <v>38</v>
      </c>
      <c r="AK70" s="22">
        <v>40</v>
      </c>
      <c r="AL70" s="22">
        <v>88</v>
      </c>
      <c r="AM70" s="22">
        <v>90</v>
      </c>
    </row>
    <row r="71" spans="1:39">
      <c r="A71" s="22" t="s">
        <v>414</v>
      </c>
      <c r="B71" s="22">
        <v>75.4</v>
      </c>
      <c r="C71" s="22">
        <v>78</v>
      </c>
      <c r="D71" s="22">
        <v>50</v>
      </c>
      <c r="E71" s="22">
        <v>95</v>
      </c>
      <c r="F71" s="22">
        <v>90</v>
      </c>
      <c r="G71" s="35"/>
      <c r="H71">
        <f t="shared" si="3"/>
        <v>0</v>
      </c>
      <c r="I71">
        <f t="shared" si="4"/>
        <v>0</v>
      </c>
      <c r="J71" s="22" t="s">
        <v>414</v>
      </c>
      <c r="K71" s="22">
        <v>79</v>
      </c>
      <c r="L71" s="22">
        <v>80</v>
      </c>
      <c r="M71" s="22">
        <v>62</v>
      </c>
      <c r="N71" s="22">
        <v>95</v>
      </c>
      <c r="O71" s="22">
        <v>90</v>
      </c>
      <c r="R71" s="22" t="s">
        <v>414</v>
      </c>
      <c r="S71" s="22">
        <v>31</v>
      </c>
      <c r="T71" s="22">
        <v>32</v>
      </c>
      <c r="U71" s="22">
        <v>25</v>
      </c>
      <c r="V71" s="22">
        <v>30</v>
      </c>
      <c r="W71" s="22">
        <v>40</v>
      </c>
      <c r="Z71" s="22" t="s">
        <v>414</v>
      </c>
      <c r="AA71" s="22">
        <v>8.6</v>
      </c>
      <c r="AB71" s="22">
        <v>5</v>
      </c>
      <c r="AC71" s="22">
        <v>10</v>
      </c>
      <c r="AD71" s="22">
        <v>20</v>
      </c>
      <c r="AE71" s="22">
        <v>15</v>
      </c>
      <c r="AH71" s="22" t="s">
        <v>414</v>
      </c>
      <c r="AI71" s="22">
        <v>48.6</v>
      </c>
      <c r="AJ71" s="22">
        <v>38</v>
      </c>
      <c r="AK71" s="22">
        <v>40</v>
      </c>
      <c r="AL71" s="22">
        <v>88</v>
      </c>
      <c r="AM71" s="22">
        <v>90</v>
      </c>
    </row>
    <row r="72" spans="1:39">
      <c r="A72" s="22" t="s">
        <v>415</v>
      </c>
      <c r="B72" s="22">
        <v>85.8</v>
      </c>
      <c r="C72" s="22">
        <v>92</v>
      </c>
      <c r="D72" s="22">
        <v>60</v>
      </c>
      <c r="E72" s="22">
        <v>95</v>
      </c>
      <c r="F72" s="22">
        <v>90</v>
      </c>
      <c r="G72" s="35"/>
      <c r="H72">
        <f t="shared" si="3"/>
        <v>1</v>
      </c>
      <c r="I72">
        <f t="shared" si="4"/>
        <v>1</v>
      </c>
      <c r="J72" s="22" t="s">
        <v>415</v>
      </c>
      <c r="K72" s="22">
        <v>82.8</v>
      </c>
      <c r="L72" s="22">
        <v>82</v>
      </c>
      <c r="M72" s="22">
        <v>75</v>
      </c>
      <c r="N72" s="22">
        <v>95</v>
      </c>
      <c r="O72" s="22">
        <v>90</v>
      </c>
      <c r="R72" s="22" t="s">
        <v>415</v>
      </c>
      <c r="S72" s="22">
        <v>76.3</v>
      </c>
      <c r="T72" s="22">
        <v>76</v>
      </c>
      <c r="U72" s="22">
        <v>65</v>
      </c>
      <c r="V72" s="22">
        <v>90</v>
      </c>
      <c r="W72" s="22">
        <v>86</v>
      </c>
      <c r="Z72" s="22" t="s">
        <v>415</v>
      </c>
      <c r="AA72" s="22">
        <v>84.4</v>
      </c>
      <c r="AB72" s="22">
        <v>88</v>
      </c>
      <c r="AC72" s="22">
        <v>72</v>
      </c>
      <c r="AD72" s="22">
        <v>90</v>
      </c>
      <c r="AE72" s="22">
        <v>80</v>
      </c>
      <c r="AH72" s="22" t="s">
        <v>415</v>
      </c>
      <c r="AI72" s="22">
        <v>83.6</v>
      </c>
      <c r="AJ72" s="22">
        <v>85</v>
      </c>
      <c r="AK72" s="22">
        <v>73</v>
      </c>
      <c r="AL72" s="22">
        <v>90</v>
      </c>
      <c r="AM72" s="22">
        <v>90</v>
      </c>
    </row>
    <row r="73" spans="1:39">
      <c r="A73" s="22" t="s">
        <v>416</v>
      </c>
      <c r="B73" s="22">
        <v>21</v>
      </c>
      <c r="C73" s="22">
        <v>20</v>
      </c>
      <c r="D73" s="22">
        <v>15</v>
      </c>
      <c r="E73" s="22">
        <v>30</v>
      </c>
      <c r="F73" s="22">
        <v>30</v>
      </c>
      <c r="G73" s="35"/>
      <c r="H73">
        <f t="shared" si="3"/>
        <v>0</v>
      </c>
      <c r="I73">
        <f t="shared" si="4"/>
        <v>0</v>
      </c>
      <c r="J73" s="22" t="s">
        <v>416</v>
      </c>
      <c r="K73" s="22">
        <v>79</v>
      </c>
      <c r="L73" s="22">
        <v>80</v>
      </c>
      <c r="M73" s="22">
        <v>62</v>
      </c>
      <c r="N73" s="22">
        <v>95</v>
      </c>
      <c r="O73" s="22">
        <v>90</v>
      </c>
      <c r="R73" s="22" t="s">
        <v>416</v>
      </c>
      <c r="S73" s="22">
        <v>24.4</v>
      </c>
      <c r="T73" s="22">
        <v>25</v>
      </c>
      <c r="U73" s="22">
        <v>20</v>
      </c>
      <c r="V73" s="22">
        <v>25</v>
      </c>
      <c r="W73" s="22">
        <v>30</v>
      </c>
      <c r="Z73" s="22" t="s">
        <v>416</v>
      </c>
      <c r="AA73" s="22">
        <v>8.6</v>
      </c>
      <c r="AB73" s="22">
        <v>5</v>
      </c>
      <c r="AC73" s="22">
        <v>10</v>
      </c>
      <c r="AD73" s="22">
        <v>20</v>
      </c>
      <c r="AE73" s="22">
        <v>15</v>
      </c>
      <c r="AH73" s="22" t="s">
        <v>416</v>
      </c>
      <c r="AI73" s="22">
        <v>42.8</v>
      </c>
      <c r="AJ73" s="22">
        <v>35</v>
      </c>
      <c r="AK73" s="22">
        <v>32</v>
      </c>
      <c r="AL73" s="22">
        <v>82</v>
      </c>
      <c r="AM73" s="22">
        <v>70</v>
      </c>
    </row>
    <row r="74" spans="1:39">
      <c r="A74" s="22" t="s">
        <v>417</v>
      </c>
      <c r="B74" s="22">
        <v>85.6</v>
      </c>
      <c r="C74" s="22">
        <v>90</v>
      </c>
      <c r="D74" s="22">
        <v>65</v>
      </c>
      <c r="E74" s="22">
        <v>95</v>
      </c>
      <c r="F74" s="22">
        <v>90</v>
      </c>
      <c r="G74" s="35"/>
      <c r="H74">
        <f t="shared" si="3"/>
        <v>1</v>
      </c>
      <c r="I74">
        <f t="shared" si="4"/>
        <v>1</v>
      </c>
      <c r="J74" s="22" t="s">
        <v>417</v>
      </c>
      <c r="K74" s="22">
        <v>85.2</v>
      </c>
      <c r="L74" s="22">
        <v>85</v>
      </c>
      <c r="M74" s="22">
        <v>78</v>
      </c>
      <c r="N74" s="22">
        <v>95</v>
      </c>
      <c r="O74" s="22">
        <v>90</v>
      </c>
      <c r="R74" s="22" t="s">
        <v>417</v>
      </c>
      <c r="S74" s="22">
        <v>75.8</v>
      </c>
      <c r="T74" s="22">
        <v>78</v>
      </c>
      <c r="U74" s="22">
        <v>55</v>
      </c>
      <c r="V74" s="22">
        <v>93</v>
      </c>
      <c r="W74" s="22">
        <v>86</v>
      </c>
      <c r="Z74" s="22" t="s">
        <v>417</v>
      </c>
      <c r="AA74" s="22">
        <v>82.4</v>
      </c>
      <c r="AB74" s="22">
        <v>85</v>
      </c>
      <c r="AC74" s="22">
        <v>65</v>
      </c>
      <c r="AD74" s="22">
        <v>100</v>
      </c>
      <c r="AE74" s="22">
        <v>80</v>
      </c>
      <c r="AH74" s="22" t="s">
        <v>417</v>
      </c>
      <c r="AI74" s="22">
        <v>83</v>
      </c>
      <c r="AJ74" s="22">
        <v>85</v>
      </c>
      <c r="AK74" s="22">
        <v>70</v>
      </c>
      <c r="AL74" s="22">
        <v>90</v>
      </c>
      <c r="AM74" s="22">
        <v>90</v>
      </c>
    </row>
    <row r="75" spans="1:39">
      <c r="A75" s="22" t="s">
        <v>418</v>
      </c>
      <c r="B75" s="22">
        <v>89.4</v>
      </c>
      <c r="C75" s="22">
        <v>92</v>
      </c>
      <c r="D75" s="22">
        <v>78</v>
      </c>
      <c r="E75" s="22">
        <v>95</v>
      </c>
      <c r="F75" s="22">
        <v>90</v>
      </c>
      <c r="G75" s="35"/>
      <c r="H75">
        <f t="shared" si="3"/>
        <v>1</v>
      </c>
      <c r="I75">
        <f t="shared" si="4"/>
        <v>1</v>
      </c>
      <c r="J75" s="22" t="s">
        <v>418</v>
      </c>
      <c r="K75" s="22">
        <v>85.2</v>
      </c>
      <c r="L75" s="22">
        <v>85</v>
      </c>
      <c r="M75" s="22">
        <v>78</v>
      </c>
      <c r="N75" s="22">
        <v>95</v>
      </c>
      <c r="O75" s="22">
        <v>90</v>
      </c>
      <c r="R75" s="22" t="s">
        <v>418</v>
      </c>
      <c r="S75" s="22">
        <v>84.1</v>
      </c>
      <c r="T75" s="22">
        <v>84</v>
      </c>
      <c r="U75" s="22">
        <v>80</v>
      </c>
      <c r="V75" s="22">
        <v>90</v>
      </c>
      <c r="W75" s="22">
        <v>86</v>
      </c>
      <c r="Z75" s="22" t="s">
        <v>418</v>
      </c>
      <c r="AA75" s="22">
        <v>90.4</v>
      </c>
      <c r="AB75" s="22">
        <v>92</v>
      </c>
      <c r="AC75" s="22">
        <v>90</v>
      </c>
      <c r="AD75" s="22">
        <v>90</v>
      </c>
      <c r="AE75" s="22">
        <v>80</v>
      </c>
      <c r="AH75" s="22" t="s">
        <v>418</v>
      </c>
      <c r="AI75" s="22">
        <v>87.2</v>
      </c>
      <c r="AJ75" s="22">
        <v>88</v>
      </c>
      <c r="AK75" s="22">
        <v>82</v>
      </c>
      <c r="AL75" s="22">
        <v>90</v>
      </c>
      <c r="AM75" s="22">
        <v>90</v>
      </c>
    </row>
    <row r="76" spans="1:39">
      <c r="A76" s="22" t="s">
        <v>419</v>
      </c>
      <c r="B76" s="29">
        <v>93.6</v>
      </c>
      <c r="C76" s="29">
        <v>95</v>
      </c>
      <c r="D76" s="29">
        <v>90</v>
      </c>
      <c r="E76" s="29">
        <v>95</v>
      </c>
      <c r="F76" s="29">
        <v>90</v>
      </c>
      <c r="G76" s="36"/>
      <c r="H76">
        <f t="shared" si="3"/>
        <v>1</v>
      </c>
      <c r="I76">
        <f t="shared" si="4"/>
        <v>1</v>
      </c>
      <c r="J76" s="22" t="s">
        <v>419</v>
      </c>
      <c r="K76" s="29">
        <v>93</v>
      </c>
      <c r="L76" s="29">
        <v>93</v>
      </c>
      <c r="M76" s="29">
        <v>92</v>
      </c>
      <c r="N76" s="29">
        <v>95</v>
      </c>
      <c r="O76" s="29">
        <v>93</v>
      </c>
      <c r="R76" s="22" t="s">
        <v>419</v>
      </c>
      <c r="S76" s="29">
        <v>90.2</v>
      </c>
      <c r="T76" s="29">
        <v>90</v>
      </c>
      <c r="U76" s="29">
        <v>90</v>
      </c>
      <c r="V76" s="29">
        <v>95</v>
      </c>
      <c r="W76" s="29">
        <v>85</v>
      </c>
      <c r="Z76" s="22" t="s">
        <v>419</v>
      </c>
      <c r="AA76" s="29">
        <v>93.8</v>
      </c>
      <c r="AB76" s="29">
        <v>95</v>
      </c>
      <c r="AC76" s="29">
        <v>92</v>
      </c>
      <c r="AD76" s="29">
        <v>100</v>
      </c>
      <c r="AE76" s="29">
        <v>80</v>
      </c>
      <c r="AH76" s="22" t="s">
        <v>419</v>
      </c>
      <c r="AI76" s="29">
        <v>93.2</v>
      </c>
      <c r="AJ76" s="29">
        <v>94</v>
      </c>
      <c r="AK76" s="29">
        <v>90</v>
      </c>
      <c r="AL76" s="29">
        <v>95</v>
      </c>
      <c r="AM76" s="29">
        <v>92</v>
      </c>
    </row>
    <row r="77" spans="1:39">
      <c r="A77" s="22" t="s">
        <v>420</v>
      </c>
      <c r="B77" s="29">
        <v>19.8</v>
      </c>
      <c r="C77" s="29">
        <v>15</v>
      </c>
      <c r="D77" s="29">
        <v>20</v>
      </c>
      <c r="E77" s="29">
        <v>30</v>
      </c>
      <c r="F77" s="29">
        <v>40</v>
      </c>
      <c r="G77" s="36"/>
      <c r="H77">
        <f t="shared" si="3"/>
        <v>1</v>
      </c>
      <c r="I77">
        <f t="shared" si="4"/>
        <v>1</v>
      </c>
      <c r="J77" s="22" t="s">
        <v>420</v>
      </c>
      <c r="K77" s="29">
        <v>3</v>
      </c>
      <c r="L77" s="29">
        <v>3</v>
      </c>
      <c r="M77" s="29">
        <v>3</v>
      </c>
      <c r="N77" s="29">
        <v>3</v>
      </c>
      <c r="O77" s="29">
        <v>3</v>
      </c>
      <c r="R77" s="22" t="s">
        <v>420</v>
      </c>
      <c r="S77" s="29">
        <v>19</v>
      </c>
      <c r="T77" s="29">
        <v>15</v>
      </c>
      <c r="U77" s="29">
        <v>20</v>
      </c>
      <c r="V77" s="29">
        <v>30</v>
      </c>
      <c r="W77" s="29">
        <v>30</v>
      </c>
      <c r="Z77" s="22" t="s">
        <v>420</v>
      </c>
      <c r="AA77" s="29">
        <v>33.4</v>
      </c>
      <c r="AB77" s="29">
        <v>25</v>
      </c>
      <c r="AC77" s="29">
        <v>30</v>
      </c>
      <c r="AD77" s="29">
        <v>70</v>
      </c>
      <c r="AE77" s="29">
        <v>50</v>
      </c>
      <c r="AH77" s="22" t="s">
        <v>420</v>
      </c>
      <c r="AI77" s="29">
        <v>22.6</v>
      </c>
      <c r="AJ77" s="29">
        <v>18</v>
      </c>
      <c r="AK77" s="29">
        <v>22</v>
      </c>
      <c r="AL77" s="29">
        <v>35</v>
      </c>
      <c r="AM77" s="29">
        <v>40</v>
      </c>
    </row>
    <row r="78" spans="1:39">
      <c r="A78" s="22" t="s">
        <v>421</v>
      </c>
      <c r="B78" s="29">
        <v>80.2</v>
      </c>
      <c r="C78" s="29">
        <v>80</v>
      </c>
      <c r="D78" s="29">
        <v>70</v>
      </c>
      <c r="E78" s="29">
        <v>95</v>
      </c>
      <c r="F78" s="29">
        <v>85</v>
      </c>
      <c r="G78" s="36"/>
      <c r="H78">
        <f t="shared" si="3"/>
        <v>0</v>
      </c>
      <c r="I78">
        <f t="shared" si="4"/>
        <v>0</v>
      </c>
      <c r="J78" s="22" t="s">
        <v>421</v>
      </c>
      <c r="K78" s="29">
        <v>25.2</v>
      </c>
      <c r="L78" s="29">
        <v>20</v>
      </c>
      <c r="M78" s="29">
        <v>20</v>
      </c>
      <c r="N78" s="29">
        <v>50</v>
      </c>
      <c r="O78" s="29">
        <v>40</v>
      </c>
      <c r="R78" s="22" t="s">
        <v>421</v>
      </c>
      <c r="S78" s="29">
        <v>48.2</v>
      </c>
      <c r="T78" s="29">
        <v>35</v>
      </c>
      <c r="U78" s="29">
        <v>50</v>
      </c>
      <c r="V78" s="29">
        <v>90</v>
      </c>
      <c r="W78" s="29">
        <v>80</v>
      </c>
      <c r="Z78" s="22" t="s">
        <v>421</v>
      </c>
      <c r="AA78" s="29">
        <v>8.6</v>
      </c>
      <c r="AB78" s="29">
        <v>5</v>
      </c>
      <c r="AC78" s="29">
        <v>10</v>
      </c>
      <c r="AD78" s="29">
        <v>20</v>
      </c>
      <c r="AE78" s="29">
        <v>15</v>
      </c>
      <c r="AH78" s="22" t="s">
        <v>421</v>
      </c>
      <c r="AI78" s="29">
        <v>45.4</v>
      </c>
      <c r="AJ78" s="29">
        <v>35</v>
      </c>
      <c r="AK78" s="29">
        <v>40</v>
      </c>
      <c r="AL78" s="29">
        <v>90</v>
      </c>
      <c r="AM78" s="29">
        <v>70</v>
      </c>
    </row>
    <row r="79" spans="1:39">
      <c r="A79" s="22" t="s">
        <v>422</v>
      </c>
      <c r="B79" s="29">
        <v>90</v>
      </c>
      <c r="C79" s="29">
        <v>90</v>
      </c>
      <c r="D79" s="29">
        <v>88</v>
      </c>
      <c r="E79" s="29">
        <v>95</v>
      </c>
      <c r="F79" s="29">
        <v>88</v>
      </c>
      <c r="G79" s="36"/>
      <c r="H79">
        <f t="shared" si="3"/>
        <v>1</v>
      </c>
      <c r="I79">
        <f t="shared" si="4"/>
        <v>1</v>
      </c>
      <c r="J79" s="22" t="s">
        <v>422</v>
      </c>
      <c r="K79" s="29">
        <v>89.6</v>
      </c>
      <c r="L79" s="29">
        <v>90</v>
      </c>
      <c r="M79" s="29">
        <v>85</v>
      </c>
      <c r="N79" s="29">
        <v>95</v>
      </c>
      <c r="O79" s="29">
        <v>90</v>
      </c>
      <c r="R79" s="22" t="s">
        <v>422</v>
      </c>
      <c r="S79" s="29">
        <v>87.2</v>
      </c>
      <c r="T79" s="29">
        <v>88</v>
      </c>
      <c r="U79" s="29">
        <v>82</v>
      </c>
      <c r="V79" s="29">
        <v>95</v>
      </c>
      <c r="W79" s="29">
        <v>82</v>
      </c>
      <c r="Z79" s="22" t="s">
        <v>422</v>
      </c>
      <c r="AA79" s="29">
        <v>91.2</v>
      </c>
      <c r="AB79" s="29">
        <v>92</v>
      </c>
      <c r="AC79" s="29">
        <v>88</v>
      </c>
      <c r="AD79" s="29">
        <v>100</v>
      </c>
      <c r="AE79" s="29">
        <v>80</v>
      </c>
      <c r="AH79" s="22" t="s">
        <v>422</v>
      </c>
      <c r="AI79" s="29">
        <v>87.4</v>
      </c>
      <c r="AJ79" s="29">
        <v>90</v>
      </c>
      <c r="AK79" s="29">
        <v>75</v>
      </c>
      <c r="AL79" s="29">
        <v>95</v>
      </c>
      <c r="AM79" s="29">
        <v>88</v>
      </c>
    </row>
    <row r="80" spans="1:39">
      <c r="A80" s="22" t="s">
        <v>423</v>
      </c>
      <c r="B80" s="29">
        <v>90</v>
      </c>
      <c r="C80" s="29">
        <v>90</v>
      </c>
      <c r="D80" s="29">
        <v>88</v>
      </c>
      <c r="E80" s="29">
        <v>95</v>
      </c>
      <c r="F80" s="29">
        <v>88</v>
      </c>
      <c r="G80" s="36"/>
      <c r="H80">
        <f t="shared" si="3"/>
        <v>1</v>
      </c>
      <c r="I80">
        <f t="shared" si="4"/>
        <v>1</v>
      </c>
      <c r="J80" s="22" t="s">
        <v>423</v>
      </c>
      <c r="K80" s="29">
        <v>89.6</v>
      </c>
      <c r="L80" s="29">
        <v>90</v>
      </c>
      <c r="M80" s="29">
        <v>85</v>
      </c>
      <c r="N80" s="29">
        <v>95</v>
      </c>
      <c r="O80" s="29">
        <v>90</v>
      </c>
      <c r="R80" s="22" t="s">
        <v>423</v>
      </c>
      <c r="S80" s="29">
        <v>87.6</v>
      </c>
      <c r="T80" s="29">
        <v>88</v>
      </c>
      <c r="U80" s="29">
        <v>84</v>
      </c>
      <c r="V80" s="29">
        <v>95</v>
      </c>
      <c r="W80" s="29">
        <v>82</v>
      </c>
      <c r="Z80" s="22" t="s">
        <v>423</v>
      </c>
      <c r="AA80" s="29">
        <v>88.4</v>
      </c>
      <c r="AB80" s="29">
        <v>90</v>
      </c>
      <c r="AC80" s="29">
        <v>80</v>
      </c>
      <c r="AD80" s="29">
        <v>100</v>
      </c>
      <c r="AE80" s="29">
        <v>80</v>
      </c>
      <c r="AH80" s="22" t="s">
        <v>423</v>
      </c>
      <c r="AI80" s="29">
        <v>87.4</v>
      </c>
      <c r="AJ80" s="29">
        <v>90</v>
      </c>
      <c r="AK80" s="29">
        <v>75</v>
      </c>
      <c r="AL80" s="29">
        <v>95</v>
      </c>
      <c r="AM80" s="29">
        <v>88</v>
      </c>
    </row>
    <row r="81" spans="1:39">
      <c r="A81" s="22" t="s">
        <v>424</v>
      </c>
      <c r="B81" s="29">
        <v>82.2</v>
      </c>
      <c r="C81" s="29">
        <v>85</v>
      </c>
      <c r="D81" s="29">
        <v>65</v>
      </c>
      <c r="E81" s="29">
        <v>95</v>
      </c>
      <c r="F81" s="29">
        <v>85</v>
      </c>
      <c r="G81" s="36"/>
      <c r="H81">
        <f t="shared" si="3"/>
        <v>0</v>
      </c>
      <c r="I81">
        <f t="shared" si="4"/>
        <v>0</v>
      </c>
      <c r="J81" s="22" t="s">
        <v>424</v>
      </c>
      <c r="K81" s="29">
        <v>67.8</v>
      </c>
      <c r="L81" s="29">
        <v>62</v>
      </c>
      <c r="M81" s="29">
        <v>60</v>
      </c>
      <c r="N81" s="29">
        <v>95</v>
      </c>
      <c r="O81" s="29">
        <v>90</v>
      </c>
      <c r="R81" s="22" t="s">
        <v>424</v>
      </c>
      <c r="S81" s="29">
        <v>73</v>
      </c>
      <c r="T81" s="29">
        <v>70</v>
      </c>
      <c r="U81" s="29">
        <v>68</v>
      </c>
      <c r="V81" s="29">
        <v>92</v>
      </c>
      <c r="W81" s="29">
        <v>80</v>
      </c>
      <c r="Z81" s="22" t="s">
        <v>424</v>
      </c>
      <c r="AA81" s="29">
        <v>8.6</v>
      </c>
      <c r="AB81" s="29">
        <v>5</v>
      </c>
      <c r="AC81" s="29">
        <v>10</v>
      </c>
      <c r="AD81" s="29">
        <v>20</v>
      </c>
      <c r="AE81" s="29">
        <v>15</v>
      </c>
      <c r="AH81" s="22" t="s">
        <v>424</v>
      </c>
      <c r="AI81" s="29">
        <v>59</v>
      </c>
      <c r="AJ81" s="29">
        <v>55</v>
      </c>
      <c r="AK81" s="29">
        <v>48</v>
      </c>
      <c r="AL81" s="29">
        <v>90</v>
      </c>
      <c r="AM81" s="29">
        <v>70</v>
      </c>
    </row>
    <row r="82" spans="1:39">
      <c r="A82" s="22" t="s">
        <v>425</v>
      </c>
      <c r="B82" s="29">
        <v>91.6</v>
      </c>
      <c r="C82" s="29">
        <v>92</v>
      </c>
      <c r="D82" s="29">
        <v>90</v>
      </c>
      <c r="E82" s="29">
        <v>95</v>
      </c>
      <c r="F82" s="29">
        <v>88</v>
      </c>
      <c r="G82" s="36"/>
      <c r="H82">
        <f t="shared" si="3"/>
        <v>1</v>
      </c>
      <c r="I82">
        <f t="shared" si="4"/>
        <v>1</v>
      </c>
      <c r="J82" s="22" t="s">
        <v>425</v>
      </c>
      <c r="K82" s="29">
        <v>94.2</v>
      </c>
      <c r="L82" s="29">
        <v>95</v>
      </c>
      <c r="M82" s="29">
        <v>93</v>
      </c>
      <c r="N82" s="29">
        <v>95</v>
      </c>
      <c r="O82" s="29">
        <v>90</v>
      </c>
      <c r="R82" s="22" t="s">
        <v>425</v>
      </c>
      <c r="S82" s="29">
        <v>89.8</v>
      </c>
      <c r="T82" s="29">
        <v>90</v>
      </c>
      <c r="U82" s="29">
        <v>88</v>
      </c>
      <c r="V82" s="29">
        <v>95</v>
      </c>
      <c r="W82" s="29">
        <v>85</v>
      </c>
      <c r="Z82" s="22" t="s">
        <v>425</v>
      </c>
      <c r="AA82" s="29">
        <v>89.4</v>
      </c>
      <c r="AB82" s="29">
        <v>90</v>
      </c>
      <c r="AC82" s="29">
        <v>85</v>
      </c>
      <c r="AD82" s="29">
        <v>100</v>
      </c>
      <c r="AE82" s="29">
        <v>80</v>
      </c>
      <c r="AH82" s="22" t="s">
        <v>425</v>
      </c>
      <c r="AI82" s="29">
        <v>89.6</v>
      </c>
      <c r="AJ82" s="29">
        <v>90</v>
      </c>
      <c r="AK82" s="29">
        <v>85</v>
      </c>
      <c r="AL82" s="29">
        <v>95</v>
      </c>
      <c r="AM82" s="29">
        <v>90</v>
      </c>
    </row>
    <row r="83" spans="1:39">
      <c r="A83" s="22" t="s">
        <v>426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36"/>
      <c r="H83">
        <f t="shared" si="3"/>
        <v>1</v>
      </c>
      <c r="I83">
        <f t="shared" si="4"/>
        <v>1</v>
      </c>
      <c r="J83" s="22" t="s">
        <v>426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R83" s="22" t="s">
        <v>426</v>
      </c>
      <c r="S83" s="29">
        <v>5</v>
      </c>
      <c r="T83" s="29">
        <v>5</v>
      </c>
      <c r="U83" s="29">
        <v>5</v>
      </c>
      <c r="V83" s="29">
        <v>5</v>
      </c>
      <c r="W83" s="29">
        <v>5</v>
      </c>
      <c r="Z83" s="22" t="s">
        <v>426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H83" s="22" t="s">
        <v>426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</row>
    <row r="84" spans="1:39">
      <c r="A84" s="22" t="s">
        <v>427</v>
      </c>
      <c r="B84" s="29">
        <v>23</v>
      </c>
      <c r="C84" s="29">
        <v>20</v>
      </c>
      <c r="D84" s="29">
        <v>25</v>
      </c>
      <c r="E84" s="29">
        <v>30</v>
      </c>
      <c r="F84" s="29">
        <v>30</v>
      </c>
      <c r="G84" s="36"/>
      <c r="H84">
        <f t="shared" si="3"/>
        <v>1</v>
      </c>
      <c r="I84">
        <f t="shared" si="4"/>
        <v>1</v>
      </c>
      <c r="J84" s="22" t="s">
        <v>427</v>
      </c>
      <c r="K84" s="29">
        <v>17.6</v>
      </c>
      <c r="L84" s="29">
        <v>12</v>
      </c>
      <c r="M84" s="29">
        <v>10</v>
      </c>
      <c r="N84" s="29">
        <v>50</v>
      </c>
      <c r="O84" s="29">
        <v>30</v>
      </c>
      <c r="R84" s="22" t="s">
        <v>427</v>
      </c>
      <c r="S84" s="29">
        <v>32.6</v>
      </c>
      <c r="T84" s="29">
        <v>25</v>
      </c>
      <c r="U84" s="29">
        <v>30</v>
      </c>
      <c r="V84" s="29">
        <v>60</v>
      </c>
      <c r="W84" s="29">
        <v>55</v>
      </c>
      <c r="Z84" s="22" t="s">
        <v>427</v>
      </c>
      <c r="AA84" s="29">
        <v>8.6</v>
      </c>
      <c r="AB84" s="29">
        <v>5</v>
      </c>
      <c r="AC84" s="29">
        <v>10</v>
      </c>
      <c r="AD84" s="29">
        <v>20</v>
      </c>
      <c r="AE84" s="29">
        <v>15</v>
      </c>
      <c r="AH84" s="22" t="s">
        <v>427</v>
      </c>
      <c r="AI84" s="29">
        <v>36.6</v>
      </c>
      <c r="AJ84" s="29">
        <v>25</v>
      </c>
      <c r="AK84" s="29">
        <v>30</v>
      </c>
      <c r="AL84" s="29">
        <v>90</v>
      </c>
      <c r="AM84" s="29">
        <v>60</v>
      </c>
    </row>
    <row r="85" spans="1:39">
      <c r="A85" s="22" t="s">
        <v>428</v>
      </c>
      <c r="B85" s="29">
        <v>23</v>
      </c>
      <c r="C85" s="29">
        <v>20</v>
      </c>
      <c r="D85" s="29">
        <v>25</v>
      </c>
      <c r="E85" s="29">
        <v>30</v>
      </c>
      <c r="F85" s="29">
        <v>30</v>
      </c>
      <c r="G85" s="36"/>
      <c r="H85">
        <f t="shared" si="3"/>
        <v>1</v>
      </c>
      <c r="I85">
        <f t="shared" si="4"/>
        <v>1</v>
      </c>
      <c r="J85" s="22" t="s">
        <v>428</v>
      </c>
      <c r="K85" s="29">
        <v>17.6</v>
      </c>
      <c r="L85" s="29">
        <v>12</v>
      </c>
      <c r="M85" s="29">
        <v>10</v>
      </c>
      <c r="N85" s="29">
        <v>50</v>
      </c>
      <c r="O85" s="29">
        <v>30</v>
      </c>
      <c r="R85" s="22" t="s">
        <v>428</v>
      </c>
      <c r="S85" s="29">
        <v>32.6</v>
      </c>
      <c r="T85" s="29">
        <v>25</v>
      </c>
      <c r="U85" s="29">
        <v>30</v>
      </c>
      <c r="V85" s="29">
        <v>60</v>
      </c>
      <c r="W85" s="29">
        <v>55</v>
      </c>
      <c r="Z85" s="22" t="s">
        <v>428</v>
      </c>
      <c r="AA85" s="29">
        <v>8.6</v>
      </c>
      <c r="AB85" s="29">
        <v>5</v>
      </c>
      <c r="AC85" s="29">
        <v>10</v>
      </c>
      <c r="AD85" s="29">
        <v>20</v>
      </c>
      <c r="AE85" s="29">
        <v>15</v>
      </c>
      <c r="AH85" s="22" t="s">
        <v>428</v>
      </c>
      <c r="AI85" s="29">
        <v>36.6</v>
      </c>
      <c r="AJ85" s="29">
        <v>25</v>
      </c>
      <c r="AK85" s="29">
        <v>30</v>
      </c>
      <c r="AL85" s="29">
        <v>90</v>
      </c>
      <c r="AM85" s="29">
        <v>60</v>
      </c>
    </row>
    <row r="86" spans="1:39">
      <c r="A86" s="22" t="s">
        <v>429</v>
      </c>
      <c r="B86" s="29">
        <v>82.4</v>
      </c>
      <c r="C86" s="29">
        <v>85</v>
      </c>
      <c r="D86" s="29">
        <v>75</v>
      </c>
      <c r="E86" s="29">
        <v>80</v>
      </c>
      <c r="F86" s="29">
        <v>85</v>
      </c>
      <c r="G86" s="36"/>
      <c r="H86">
        <f t="shared" si="3"/>
        <v>1</v>
      </c>
      <c r="I86">
        <f t="shared" si="4"/>
        <v>1</v>
      </c>
      <c r="J86" s="22" t="s">
        <v>429</v>
      </c>
      <c r="K86" s="29">
        <v>76.8</v>
      </c>
      <c r="L86" s="29">
        <v>80</v>
      </c>
      <c r="M86" s="29">
        <v>58</v>
      </c>
      <c r="N86" s="29">
        <v>85</v>
      </c>
      <c r="O86" s="29">
        <v>88</v>
      </c>
      <c r="R86" s="22" t="s">
        <v>429</v>
      </c>
      <c r="S86" s="29">
        <v>82.2</v>
      </c>
      <c r="T86" s="29">
        <v>85</v>
      </c>
      <c r="U86" s="29">
        <v>72</v>
      </c>
      <c r="V86" s="29">
        <v>85</v>
      </c>
      <c r="W86" s="29">
        <v>82</v>
      </c>
      <c r="Z86" s="22" t="s">
        <v>429</v>
      </c>
      <c r="AA86" s="29">
        <v>72.4</v>
      </c>
      <c r="AB86" s="29">
        <v>75</v>
      </c>
      <c r="AC86" s="29">
        <v>65</v>
      </c>
      <c r="AD86" s="29">
        <v>70</v>
      </c>
      <c r="AE86" s="29">
        <v>75</v>
      </c>
      <c r="AH86" s="22" t="s">
        <v>429</v>
      </c>
      <c r="AI86" s="29">
        <v>82.2</v>
      </c>
      <c r="AJ86" s="29">
        <v>85</v>
      </c>
      <c r="AK86" s="29">
        <v>68</v>
      </c>
      <c r="AL86" s="29">
        <v>90</v>
      </c>
      <c r="AM86" s="29">
        <v>85</v>
      </c>
    </row>
    <row r="87" spans="1:39">
      <c r="A87" s="22" t="s">
        <v>430</v>
      </c>
      <c r="B87" s="29">
        <v>82.4</v>
      </c>
      <c r="C87" s="29">
        <v>85</v>
      </c>
      <c r="D87" s="29">
        <v>75</v>
      </c>
      <c r="E87" s="29">
        <v>80</v>
      </c>
      <c r="F87" s="29">
        <v>85</v>
      </c>
      <c r="G87" s="36"/>
      <c r="H87">
        <f t="shared" si="3"/>
        <v>1</v>
      </c>
      <c r="I87">
        <f t="shared" si="4"/>
        <v>1</v>
      </c>
      <c r="J87" s="22" t="s">
        <v>430</v>
      </c>
      <c r="K87" s="29">
        <v>76.8</v>
      </c>
      <c r="L87" s="29">
        <v>80</v>
      </c>
      <c r="M87" s="29">
        <v>58</v>
      </c>
      <c r="N87" s="29">
        <v>85</v>
      </c>
      <c r="O87" s="29">
        <v>88</v>
      </c>
      <c r="R87" s="22" t="s">
        <v>430</v>
      </c>
      <c r="S87" s="29">
        <v>82.2</v>
      </c>
      <c r="T87" s="29">
        <v>85</v>
      </c>
      <c r="U87" s="29">
        <v>72</v>
      </c>
      <c r="V87" s="29">
        <v>85</v>
      </c>
      <c r="W87" s="29">
        <v>82</v>
      </c>
      <c r="Z87" s="22" t="s">
        <v>430</v>
      </c>
      <c r="AA87" s="29">
        <v>72.4</v>
      </c>
      <c r="AB87" s="29">
        <v>75</v>
      </c>
      <c r="AC87" s="29">
        <v>65</v>
      </c>
      <c r="AD87" s="29">
        <v>70</v>
      </c>
      <c r="AE87" s="29">
        <v>75</v>
      </c>
      <c r="AH87" s="22" t="s">
        <v>430</v>
      </c>
      <c r="AI87" s="29">
        <v>82.2</v>
      </c>
      <c r="AJ87" s="29">
        <v>85</v>
      </c>
      <c r="AK87" s="29">
        <v>68</v>
      </c>
      <c r="AL87" s="29">
        <v>90</v>
      </c>
      <c r="AM87" s="29">
        <v>85</v>
      </c>
    </row>
    <row r="88" spans="1:39">
      <c r="A88" s="22" t="s">
        <v>431</v>
      </c>
      <c r="B88" s="29">
        <v>91.6</v>
      </c>
      <c r="C88" s="29">
        <v>92</v>
      </c>
      <c r="D88" s="29">
        <v>90</v>
      </c>
      <c r="E88" s="29">
        <v>95</v>
      </c>
      <c r="F88" s="29">
        <v>88</v>
      </c>
      <c r="G88" s="36"/>
      <c r="H88">
        <f t="shared" si="3"/>
        <v>1</v>
      </c>
      <c r="I88">
        <f t="shared" si="4"/>
        <v>1</v>
      </c>
      <c r="J88" s="22" t="s">
        <v>431</v>
      </c>
      <c r="K88" s="29">
        <v>94.2</v>
      </c>
      <c r="L88" s="29">
        <v>95</v>
      </c>
      <c r="M88" s="29">
        <v>93</v>
      </c>
      <c r="N88" s="29">
        <v>95</v>
      </c>
      <c r="O88" s="29">
        <v>90</v>
      </c>
      <c r="R88" s="22" t="s">
        <v>431</v>
      </c>
      <c r="S88" s="29">
        <v>89.8</v>
      </c>
      <c r="T88" s="29">
        <v>90</v>
      </c>
      <c r="U88" s="29">
        <v>88</v>
      </c>
      <c r="V88" s="29">
        <v>95</v>
      </c>
      <c r="W88" s="29">
        <v>85</v>
      </c>
      <c r="Z88" s="22" t="s">
        <v>431</v>
      </c>
      <c r="AA88" s="29">
        <v>89.4</v>
      </c>
      <c r="AB88" s="29">
        <v>90</v>
      </c>
      <c r="AC88" s="29">
        <v>85</v>
      </c>
      <c r="AD88" s="29">
        <v>100</v>
      </c>
      <c r="AE88" s="29">
        <v>80</v>
      </c>
      <c r="AH88" s="22" t="s">
        <v>431</v>
      </c>
      <c r="AI88" s="29">
        <v>89.6</v>
      </c>
      <c r="AJ88" s="29">
        <v>90</v>
      </c>
      <c r="AK88" s="29">
        <v>85</v>
      </c>
      <c r="AL88" s="29">
        <v>95</v>
      </c>
      <c r="AM88" s="29">
        <v>90</v>
      </c>
    </row>
    <row r="89" spans="1:39">
      <c r="A89" s="22" t="s">
        <v>432</v>
      </c>
      <c r="B89" s="29">
        <v>75.2</v>
      </c>
      <c r="C89" s="29">
        <v>70</v>
      </c>
      <c r="D89" s="29">
        <v>75</v>
      </c>
      <c r="E89" s="29">
        <v>95</v>
      </c>
      <c r="F89" s="29">
        <v>85</v>
      </c>
      <c r="G89" s="36"/>
      <c r="H89">
        <f t="shared" si="3"/>
        <v>0</v>
      </c>
      <c r="I89">
        <f t="shared" si="4"/>
        <v>0</v>
      </c>
      <c r="J89" s="22" t="s">
        <v>432</v>
      </c>
      <c r="K89" s="29">
        <v>75.6</v>
      </c>
      <c r="L89" s="29">
        <v>70</v>
      </c>
      <c r="M89" s="29">
        <v>75</v>
      </c>
      <c r="N89" s="29">
        <v>95</v>
      </c>
      <c r="O89" s="29">
        <v>90</v>
      </c>
      <c r="R89" s="22" t="s">
        <v>432</v>
      </c>
      <c r="S89" s="29">
        <v>89.4</v>
      </c>
      <c r="T89" s="29">
        <v>90</v>
      </c>
      <c r="U89" s="29">
        <v>86</v>
      </c>
      <c r="V89" s="29">
        <v>95</v>
      </c>
      <c r="W89" s="29">
        <v>85</v>
      </c>
      <c r="Z89" s="22" t="s">
        <v>432</v>
      </c>
      <c r="AA89" s="29">
        <v>48</v>
      </c>
      <c r="AB89" s="29">
        <v>30</v>
      </c>
      <c r="AC89" s="29">
        <v>60</v>
      </c>
      <c r="AD89" s="29">
        <v>100</v>
      </c>
      <c r="AE89" s="29">
        <v>75</v>
      </c>
      <c r="AH89" s="22" t="s">
        <v>432</v>
      </c>
      <c r="AI89" s="29">
        <v>93.2</v>
      </c>
      <c r="AJ89" s="29">
        <v>94</v>
      </c>
      <c r="AK89" s="29">
        <v>90</v>
      </c>
      <c r="AL89" s="29">
        <v>95</v>
      </c>
      <c r="AM89" s="29">
        <v>92</v>
      </c>
    </row>
    <row r="90" spans="1:39">
      <c r="A90" s="22" t="s">
        <v>433</v>
      </c>
      <c r="B90" s="29">
        <v>0</v>
      </c>
      <c r="C90" s="29">
        <v>0</v>
      </c>
      <c r="D90" s="29">
        <v>0</v>
      </c>
      <c r="E90" s="29">
        <v>0</v>
      </c>
      <c r="F90" s="29">
        <v>0</v>
      </c>
      <c r="G90" s="36"/>
      <c r="H90">
        <f t="shared" si="3"/>
        <v>1</v>
      </c>
      <c r="I90">
        <f t="shared" si="4"/>
        <v>1</v>
      </c>
      <c r="J90" s="22" t="s">
        <v>433</v>
      </c>
      <c r="K90" s="29">
        <v>28.8</v>
      </c>
      <c r="L90" s="29">
        <v>22</v>
      </c>
      <c r="M90" s="29">
        <v>28</v>
      </c>
      <c r="N90" s="29">
        <v>50</v>
      </c>
      <c r="O90" s="29">
        <v>50</v>
      </c>
      <c r="R90" s="22" t="s">
        <v>433</v>
      </c>
      <c r="S90" s="29">
        <v>5</v>
      </c>
      <c r="T90" s="29">
        <v>5</v>
      </c>
      <c r="U90" s="29">
        <v>5</v>
      </c>
      <c r="V90" s="29">
        <v>5</v>
      </c>
      <c r="W90" s="29">
        <v>5</v>
      </c>
      <c r="Z90" s="22" t="s">
        <v>433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H90" s="22" t="s">
        <v>433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</row>
    <row r="91" spans="1:39">
      <c r="A91" s="22" t="s">
        <v>434</v>
      </c>
      <c r="B91" s="29">
        <v>36</v>
      </c>
      <c r="C91" s="29">
        <v>30</v>
      </c>
      <c r="D91" s="29">
        <v>40</v>
      </c>
      <c r="E91" s="29">
        <v>50</v>
      </c>
      <c r="F91" s="29">
        <v>50</v>
      </c>
      <c r="G91" s="36"/>
      <c r="H91">
        <f t="shared" si="3"/>
        <v>1</v>
      </c>
      <c r="I91">
        <f t="shared" si="4"/>
        <v>1</v>
      </c>
      <c r="J91" s="22" t="s">
        <v>434</v>
      </c>
      <c r="K91" s="29">
        <v>28.8</v>
      </c>
      <c r="L91" s="29">
        <v>22</v>
      </c>
      <c r="M91" s="29">
        <v>28</v>
      </c>
      <c r="N91" s="29">
        <v>50</v>
      </c>
      <c r="O91" s="29">
        <v>50</v>
      </c>
      <c r="R91" s="22" t="s">
        <v>434</v>
      </c>
      <c r="S91" s="29">
        <v>42.2</v>
      </c>
      <c r="T91" s="29">
        <v>35</v>
      </c>
      <c r="U91" s="29">
        <v>40</v>
      </c>
      <c r="V91" s="29">
        <v>70</v>
      </c>
      <c r="W91" s="29">
        <v>60</v>
      </c>
      <c r="Z91" s="22" t="s">
        <v>434</v>
      </c>
      <c r="AA91" s="29">
        <v>10.2</v>
      </c>
      <c r="AB91" s="29">
        <v>5</v>
      </c>
      <c r="AC91" s="29">
        <v>15</v>
      </c>
      <c r="AD91" s="29">
        <v>25</v>
      </c>
      <c r="AE91" s="29">
        <v>15</v>
      </c>
      <c r="AH91" s="22" t="s">
        <v>434</v>
      </c>
      <c r="AI91" s="29">
        <v>40.6</v>
      </c>
      <c r="AJ91" s="29">
        <v>30</v>
      </c>
      <c r="AK91" s="29">
        <v>35</v>
      </c>
      <c r="AL91" s="29">
        <v>90</v>
      </c>
      <c r="AM91" s="29">
        <v>60</v>
      </c>
    </row>
    <row r="92" spans="1:39">
      <c r="A92" s="22" t="s">
        <v>435</v>
      </c>
      <c r="B92" s="29">
        <v>91.6</v>
      </c>
      <c r="C92" s="29">
        <v>92</v>
      </c>
      <c r="D92" s="29">
        <v>90</v>
      </c>
      <c r="E92" s="29">
        <v>95</v>
      </c>
      <c r="F92" s="29">
        <v>88</v>
      </c>
      <c r="G92" s="36"/>
      <c r="H92">
        <f t="shared" si="3"/>
        <v>1</v>
      </c>
      <c r="I92">
        <f t="shared" si="4"/>
        <v>1</v>
      </c>
      <c r="J92" s="22" t="s">
        <v>435</v>
      </c>
      <c r="K92" s="29">
        <v>93</v>
      </c>
      <c r="L92" s="29">
        <v>93</v>
      </c>
      <c r="M92" s="29">
        <v>92</v>
      </c>
      <c r="N92" s="29">
        <v>95</v>
      </c>
      <c r="O92" s="29">
        <v>93</v>
      </c>
      <c r="R92" s="22" t="s">
        <v>435</v>
      </c>
      <c r="S92" s="29">
        <v>90.2</v>
      </c>
      <c r="T92" s="29">
        <v>90</v>
      </c>
      <c r="U92" s="29">
        <v>90</v>
      </c>
      <c r="V92" s="29">
        <v>95</v>
      </c>
      <c r="W92" s="29">
        <v>85</v>
      </c>
      <c r="Z92" s="22" t="s">
        <v>435</v>
      </c>
      <c r="AA92" s="29">
        <v>93.8</v>
      </c>
      <c r="AB92" s="29">
        <v>95</v>
      </c>
      <c r="AC92" s="29">
        <v>92</v>
      </c>
      <c r="AD92" s="29">
        <v>100</v>
      </c>
      <c r="AE92" s="29">
        <v>80</v>
      </c>
      <c r="AH92" s="22" t="s">
        <v>435</v>
      </c>
      <c r="AI92" s="29">
        <v>93.2</v>
      </c>
      <c r="AJ92" s="29">
        <v>94</v>
      </c>
      <c r="AK92" s="29">
        <v>90</v>
      </c>
      <c r="AL92" s="29">
        <v>95</v>
      </c>
      <c r="AM92" s="29">
        <v>92</v>
      </c>
    </row>
    <row r="93" spans="1:39">
      <c r="A93" s="22" t="s">
        <v>436</v>
      </c>
      <c r="B93" s="29">
        <v>84.8</v>
      </c>
      <c r="C93" s="29">
        <v>85</v>
      </c>
      <c r="D93" s="29">
        <v>78</v>
      </c>
      <c r="E93" s="29">
        <v>95</v>
      </c>
      <c r="F93" s="29">
        <v>85</v>
      </c>
      <c r="G93" s="36"/>
      <c r="H93">
        <f t="shared" si="3"/>
        <v>1</v>
      </c>
      <c r="I93">
        <f t="shared" si="4"/>
        <v>1</v>
      </c>
      <c r="J93" s="22" t="s">
        <v>436</v>
      </c>
      <c r="K93" s="29">
        <v>88</v>
      </c>
      <c r="L93" s="29">
        <v>88</v>
      </c>
      <c r="M93" s="29">
        <v>83</v>
      </c>
      <c r="N93" s="29">
        <v>95</v>
      </c>
      <c r="O93" s="29">
        <v>90</v>
      </c>
      <c r="R93" s="22" t="s">
        <v>436</v>
      </c>
      <c r="S93" s="29">
        <v>87.3</v>
      </c>
      <c r="T93" s="29">
        <v>88</v>
      </c>
      <c r="U93" s="29">
        <v>82</v>
      </c>
      <c r="V93" s="29">
        <v>95</v>
      </c>
      <c r="W93" s="29">
        <v>84</v>
      </c>
      <c r="Z93" s="22" t="s">
        <v>436</v>
      </c>
      <c r="AA93" s="29">
        <v>83.4</v>
      </c>
      <c r="AB93" s="29">
        <v>85</v>
      </c>
      <c r="AC93" s="29">
        <v>70</v>
      </c>
      <c r="AD93" s="29">
        <v>100</v>
      </c>
      <c r="AE93" s="29">
        <v>80</v>
      </c>
      <c r="AH93" s="22" t="s">
        <v>436</v>
      </c>
      <c r="AI93" s="29">
        <v>89</v>
      </c>
      <c r="AJ93" s="29">
        <v>90</v>
      </c>
      <c r="AK93" s="29">
        <v>82</v>
      </c>
      <c r="AL93" s="29">
        <v>95</v>
      </c>
      <c r="AM93" s="29">
        <v>90</v>
      </c>
    </row>
    <row r="97" spans="1:39">
      <c r="A97" t="s">
        <v>437</v>
      </c>
      <c r="B97" s="37">
        <f>(1-SUM(H58:H93)/36)</f>
        <v>0.25</v>
      </c>
    </row>
    <row r="98" spans="1:39">
      <c r="A98" t="s">
        <v>438</v>
      </c>
      <c r="B98" s="37">
        <f>(1-SUM(I58:I93)/36)</f>
        <v>0.277777777777778</v>
      </c>
    </row>
    <row r="101" spans="1:39">
      <c r="A101" t="s">
        <v>439</v>
      </c>
    </row>
    <row r="102" spans="1:39">
      <c r="A102" s="31" t="s">
        <v>399</v>
      </c>
      <c r="B102" s="31"/>
      <c r="C102" s="31"/>
      <c r="D102" s="31"/>
      <c r="E102" s="31"/>
      <c r="F102" s="31"/>
      <c r="G102" s="1"/>
      <c r="J102" s="32" t="s">
        <v>400</v>
      </c>
      <c r="K102" s="33"/>
      <c r="L102" s="33"/>
      <c r="M102" s="33"/>
      <c r="N102" s="33"/>
      <c r="O102" s="34"/>
      <c r="R102" s="32" t="s">
        <v>89</v>
      </c>
      <c r="S102" s="33"/>
      <c r="T102" s="33"/>
      <c r="U102" s="33"/>
      <c r="V102" s="33"/>
      <c r="W102" s="34"/>
      <c r="Z102" s="32" t="s">
        <v>385</v>
      </c>
      <c r="AA102" s="33"/>
      <c r="AB102" s="33"/>
      <c r="AC102" s="33"/>
      <c r="AD102" s="33"/>
      <c r="AE102" s="34"/>
      <c r="AH102" s="32" t="s">
        <v>386</v>
      </c>
      <c r="AI102" s="33"/>
      <c r="AJ102" s="33"/>
      <c r="AK102" s="33"/>
      <c r="AL102" s="33"/>
      <c r="AM102" s="34"/>
    </row>
    <row r="103" spans="1:39">
      <c r="A103" s="22" t="s">
        <v>10</v>
      </c>
      <c r="B103" s="22" t="s">
        <v>85</v>
      </c>
      <c r="C103" s="22" t="s">
        <v>6</v>
      </c>
      <c r="D103" s="22" t="s">
        <v>7</v>
      </c>
      <c r="E103" s="22" t="s">
        <v>8</v>
      </c>
      <c r="F103" s="22" t="s">
        <v>9</v>
      </c>
      <c r="G103" s="35"/>
      <c r="J103" s="22" t="s">
        <v>10</v>
      </c>
      <c r="K103" s="22" t="s">
        <v>85</v>
      </c>
      <c r="L103" s="22" t="s">
        <v>6</v>
      </c>
      <c r="M103" s="22" t="s">
        <v>7</v>
      </c>
      <c r="N103" s="22" t="s">
        <v>8</v>
      </c>
      <c r="O103" s="22" t="s">
        <v>9</v>
      </c>
      <c r="R103" s="22" t="s">
        <v>10</v>
      </c>
      <c r="S103" s="22" t="s">
        <v>85</v>
      </c>
      <c r="T103" s="22" t="s">
        <v>6</v>
      </c>
      <c r="U103" s="22" t="s">
        <v>7</v>
      </c>
      <c r="V103" s="22" t="s">
        <v>8</v>
      </c>
      <c r="W103" s="22" t="s">
        <v>9</v>
      </c>
      <c r="Z103" s="22" t="s">
        <v>10</v>
      </c>
      <c r="AA103" s="22" t="s">
        <v>85</v>
      </c>
      <c r="AB103" s="22" t="s">
        <v>6</v>
      </c>
      <c r="AC103" s="22" t="s">
        <v>7</v>
      </c>
      <c r="AD103" s="22" t="s">
        <v>8</v>
      </c>
      <c r="AE103" s="22" t="s">
        <v>9</v>
      </c>
      <c r="AH103" s="22" t="s">
        <v>10</v>
      </c>
      <c r="AI103" s="22" t="s">
        <v>85</v>
      </c>
      <c r="AJ103" s="22" t="s">
        <v>6</v>
      </c>
      <c r="AK103" s="22" t="s">
        <v>7</v>
      </c>
      <c r="AL103" s="22" t="s">
        <v>8</v>
      </c>
      <c r="AM103" s="22" t="s">
        <v>9</v>
      </c>
    </row>
    <row r="104" spans="1:39">
      <c r="A104" s="22" t="s">
        <v>401</v>
      </c>
      <c r="B104" s="22">
        <v>88.6</v>
      </c>
      <c r="C104" s="22">
        <v>88</v>
      </c>
      <c r="D104" s="22">
        <v>86</v>
      </c>
      <c r="E104" s="22">
        <v>95</v>
      </c>
      <c r="F104" s="22">
        <v>90</v>
      </c>
      <c r="G104" s="35"/>
      <c r="H104">
        <f t="shared" ref="H104:H139" si="5">IF(OR(AND(C104&gt;=60,L104&gt;=60,T104&gt;=60,AB104&gt;=60,AJ104&gt;=60),AND(C104&lt;60,L104&lt;60,T104&lt;60,AB104&lt;60,AJ104&lt;60)),1,0)</f>
        <v>1</v>
      </c>
      <c r="I104">
        <f t="shared" ref="I104:I139" si="6">IF(OR(AND(B104&gt;=60,K104&gt;=60,S104&gt;=60,AA104&gt;=60,AI104&gt;=60),AND(B104&lt;60,K104&lt;60,S104&lt;60,AA104&lt;60,AI104&lt;60)),1,0)</f>
        <v>1</v>
      </c>
      <c r="J104" s="22" t="s">
        <v>401</v>
      </c>
      <c r="K104" s="22">
        <v>91.4</v>
      </c>
      <c r="L104" s="22">
        <v>92</v>
      </c>
      <c r="M104" s="22">
        <v>88</v>
      </c>
      <c r="N104" s="22">
        <v>95</v>
      </c>
      <c r="O104" s="22">
        <v>90</v>
      </c>
      <c r="R104" s="22" t="s">
        <v>401</v>
      </c>
      <c r="S104" s="22">
        <v>91.4</v>
      </c>
      <c r="T104" s="22">
        <v>92</v>
      </c>
      <c r="U104" s="22">
        <v>88</v>
      </c>
      <c r="V104" s="22">
        <v>95</v>
      </c>
      <c r="W104" s="22">
        <v>90</v>
      </c>
      <c r="Z104" s="22" t="s">
        <v>401</v>
      </c>
      <c r="AA104" s="22">
        <v>84.6</v>
      </c>
      <c r="AB104" s="22">
        <v>85</v>
      </c>
      <c r="AC104" s="22">
        <v>75</v>
      </c>
      <c r="AD104" s="22">
        <v>95</v>
      </c>
      <c r="AE104" s="22">
        <v>90</v>
      </c>
      <c r="AH104" s="22" t="s">
        <v>401</v>
      </c>
      <c r="AI104" s="22">
        <v>86.2</v>
      </c>
      <c r="AJ104" s="22">
        <v>84</v>
      </c>
      <c r="AK104" s="22">
        <v>84</v>
      </c>
      <c r="AL104" s="22">
        <v>95</v>
      </c>
      <c r="AM104" s="22">
        <v>95</v>
      </c>
    </row>
    <row r="105" spans="1:39">
      <c r="A105" s="22" t="s">
        <v>402</v>
      </c>
      <c r="B105" s="22">
        <v>86</v>
      </c>
      <c r="C105" s="22">
        <v>85</v>
      </c>
      <c r="D105" s="22">
        <v>82</v>
      </c>
      <c r="E105" s="22">
        <v>95</v>
      </c>
      <c r="F105" s="22">
        <v>90</v>
      </c>
      <c r="G105" s="35"/>
      <c r="H105">
        <f t="shared" si="5"/>
        <v>1</v>
      </c>
      <c r="I105">
        <f t="shared" si="6"/>
        <v>1</v>
      </c>
      <c r="J105" s="22" t="s">
        <v>402</v>
      </c>
      <c r="K105" s="22">
        <v>88.4</v>
      </c>
      <c r="L105" s="22">
        <v>88</v>
      </c>
      <c r="M105" s="22">
        <v>85</v>
      </c>
      <c r="N105" s="22">
        <v>95</v>
      </c>
      <c r="O105" s="22">
        <v>90</v>
      </c>
      <c r="R105" s="22" t="s">
        <v>402</v>
      </c>
      <c r="S105" s="22">
        <v>88.6</v>
      </c>
      <c r="T105" s="22">
        <v>90</v>
      </c>
      <c r="U105" s="22">
        <v>80</v>
      </c>
      <c r="V105" s="22">
        <v>95</v>
      </c>
      <c r="W105" s="22">
        <v>90</v>
      </c>
      <c r="Z105" s="22" t="s">
        <v>402</v>
      </c>
      <c r="AA105" s="22">
        <v>79.4</v>
      </c>
      <c r="AB105" s="22">
        <v>78</v>
      </c>
      <c r="AC105" s="22">
        <v>70</v>
      </c>
      <c r="AD105" s="22">
        <v>95</v>
      </c>
      <c r="AE105" s="22">
        <v>90</v>
      </c>
      <c r="AH105" s="22" t="s">
        <v>402</v>
      </c>
      <c r="AI105" s="22">
        <v>86</v>
      </c>
      <c r="AJ105" s="22">
        <v>84</v>
      </c>
      <c r="AK105" s="22">
        <v>83</v>
      </c>
      <c r="AL105" s="22">
        <v>95</v>
      </c>
      <c r="AM105" s="22">
        <v>95</v>
      </c>
    </row>
    <row r="106" spans="1:39">
      <c r="A106" s="22" t="s">
        <v>403</v>
      </c>
      <c r="B106" s="22">
        <v>75.4</v>
      </c>
      <c r="C106" s="22">
        <v>74</v>
      </c>
      <c r="D106" s="22">
        <v>78</v>
      </c>
      <c r="E106" s="22">
        <v>95</v>
      </c>
      <c r="F106" s="22">
        <v>50</v>
      </c>
      <c r="G106" s="35"/>
      <c r="H106">
        <f t="shared" si="5"/>
        <v>1</v>
      </c>
      <c r="I106">
        <f t="shared" si="6"/>
        <v>1</v>
      </c>
      <c r="J106" s="22" t="s">
        <v>403</v>
      </c>
      <c r="K106" s="22">
        <v>78.6</v>
      </c>
      <c r="L106" s="22">
        <v>80</v>
      </c>
      <c r="M106" s="22">
        <v>78</v>
      </c>
      <c r="N106" s="22">
        <v>95</v>
      </c>
      <c r="O106" s="22">
        <v>45</v>
      </c>
      <c r="R106" s="22" t="s">
        <v>403</v>
      </c>
      <c r="S106" s="22">
        <v>82.4</v>
      </c>
      <c r="T106" s="22">
        <v>85</v>
      </c>
      <c r="U106" s="22">
        <v>78</v>
      </c>
      <c r="V106" s="22">
        <v>95</v>
      </c>
      <c r="W106" s="22">
        <v>55</v>
      </c>
      <c r="Z106" s="22" t="s">
        <v>403</v>
      </c>
      <c r="AA106" s="22">
        <v>67</v>
      </c>
      <c r="AB106" s="22">
        <v>65</v>
      </c>
      <c r="AC106" s="22">
        <v>65</v>
      </c>
      <c r="AD106" s="22">
        <v>92</v>
      </c>
      <c r="AE106" s="22">
        <v>50</v>
      </c>
      <c r="AH106" s="22" t="s">
        <v>403</v>
      </c>
      <c r="AI106" s="22">
        <v>81.4</v>
      </c>
      <c r="AJ106" s="22">
        <v>82</v>
      </c>
      <c r="AK106" s="22">
        <v>82</v>
      </c>
      <c r="AL106" s="22">
        <v>95</v>
      </c>
      <c r="AM106" s="22">
        <v>55</v>
      </c>
    </row>
    <row r="107" spans="1:39">
      <c r="A107" s="22" t="s">
        <v>404</v>
      </c>
      <c r="B107" s="22">
        <v>88.4</v>
      </c>
      <c r="C107" s="22">
        <v>88</v>
      </c>
      <c r="D107" s="22">
        <v>85</v>
      </c>
      <c r="E107" s="22">
        <v>95</v>
      </c>
      <c r="F107" s="22">
        <v>90</v>
      </c>
      <c r="G107" s="35"/>
      <c r="H107">
        <f t="shared" si="5"/>
        <v>1</v>
      </c>
      <c r="I107">
        <f t="shared" si="6"/>
        <v>1</v>
      </c>
      <c r="J107" s="22" t="s">
        <v>404</v>
      </c>
      <c r="K107" s="22">
        <v>88.4</v>
      </c>
      <c r="L107" s="22">
        <v>87</v>
      </c>
      <c r="M107" s="22">
        <v>88</v>
      </c>
      <c r="N107" s="22">
        <v>95</v>
      </c>
      <c r="O107" s="22">
        <v>90</v>
      </c>
      <c r="R107" s="22" t="s">
        <v>404</v>
      </c>
      <c r="S107" s="22">
        <v>90.2</v>
      </c>
      <c r="T107" s="22">
        <v>90</v>
      </c>
      <c r="U107" s="22">
        <v>88</v>
      </c>
      <c r="V107" s="22">
        <v>95</v>
      </c>
      <c r="W107" s="22">
        <v>90</v>
      </c>
      <c r="Z107" s="22" t="s">
        <v>404</v>
      </c>
      <c r="AA107" s="22">
        <v>82.2</v>
      </c>
      <c r="AB107" s="22">
        <v>80</v>
      </c>
      <c r="AC107" s="22">
        <v>78</v>
      </c>
      <c r="AD107" s="22">
        <v>95</v>
      </c>
      <c r="AE107" s="22">
        <v>90</v>
      </c>
      <c r="AH107" s="22" t="s">
        <v>404</v>
      </c>
      <c r="AI107" s="22">
        <v>87.2</v>
      </c>
      <c r="AJ107" s="22">
        <v>85</v>
      </c>
      <c r="AK107" s="22">
        <v>86</v>
      </c>
      <c r="AL107" s="22">
        <v>95</v>
      </c>
      <c r="AM107" s="22">
        <v>95</v>
      </c>
    </row>
    <row r="108" spans="1:39">
      <c r="A108" s="22" t="s">
        <v>405</v>
      </c>
      <c r="B108" s="22">
        <v>76.8</v>
      </c>
      <c r="C108" s="22">
        <v>75</v>
      </c>
      <c r="D108" s="22">
        <v>80</v>
      </c>
      <c r="E108" s="22">
        <v>95</v>
      </c>
      <c r="F108" s="22">
        <v>55</v>
      </c>
      <c r="G108" s="35"/>
      <c r="H108">
        <f t="shared" si="5"/>
        <v>1</v>
      </c>
      <c r="I108">
        <f t="shared" si="6"/>
        <v>1</v>
      </c>
      <c r="J108" s="22" t="s">
        <v>405</v>
      </c>
      <c r="K108" s="22">
        <v>80.6</v>
      </c>
      <c r="L108" s="22">
        <v>82</v>
      </c>
      <c r="M108" s="22">
        <v>80</v>
      </c>
      <c r="N108" s="22">
        <v>95</v>
      </c>
      <c r="O108" s="22">
        <v>50</v>
      </c>
      <c r="R108" s="22" t="s">
        <v>405</v>
      </c>
      <c r="S108" s="22">
        <v>83.4</v>
      </c>
      <c r="T108" s="22">
        <v>85</v>
      </c>
      <c r="U108" s="22">
        <v>82</v>
      </c>
      <c r="V108" s="22">
        <v>95</v>
      </c>
      <c r="W108" s="22">
        <v>58</v>
      </c>
      <c r="Z108" s="22" t="s">
        <v>405</v>
      </c>
      <c r="AA108" s="22">
        <v>71.8</v>
      </c>
      <c r="AB108" s="22">
        <v>70</v>
      </c>
      <c r="AC108" s="22">
        <v>72</v>
      </c>
      <c r="AD108" s="22">
        <v>92</v>
      </c>
      <c r="AE108" s="22">
        <v>55</v>
      </c>
      <c r="AH108" s="22" t="s">
        <v>405</v>
      </c>
      <c r="AI108" s="22">
        <v>81.4</v>
      </c>
      <c r="AJ108" s="22">
        <v>82</v>
      </c>
      <c r="AK108" s="22">
        <v>82</v>
      </c>
      <c r="AL108" s="22">
        <v>95</v>
      </c>
      <c r="AM108" s="22">
        <v>55</v>
      </c>
    </row>
    <row r="109" spans="1:39">
      <c r="A109" s="22" t="s">
        <v>406</v>
      </c>
      <c r="B109" s="22">
        <v>90.6</v>
      </c>
      <c r="C109" s="22">
        <v>90</v>
      </c>
      <c r="D109" s="22">
        <v>90</v>
      </c>
      <c r="E109" s="22">
        <v>95</v>
      </c>
      <c r="F109" s="22">
        <v>90</v>
      </c>
      <c r="G109" s="35"/>
      <c r="H109">
        <f t="shared" si="5"/>
        <v>1</v>
      </c>
      <c r="I109">
        <f t="shared" si="6"/>
        <v>1</v>
      </c>
      <c r="J109" s="22" t="s">
        <v>406</v>
      </c>
      <c r="K109" s="22">
        <v>94.6</v>
      </c>
      <c r="L109" s="22">
        <v>95</v>
      </c>
      <c r="M109" s="22">
        <v>95</v>
      </c>
      <c r="N109" s="22">
        <v>95</v>
      </c>
      <c r="O109" s="22">
        <v>90</v>
      </c>
      <c r="R109" s="22" t="s">
        <v>406</v>
      </c>
      <c r="S109" s="22">
        <v>94.2</v>
      </c>
      <c r="T109" s="22">
        <v>95</v>
      </c>
      <c r="U109" s="22">
        <v>92</v>
      </c>
      <c r="V109" s="22">
        <v>95</v>
      </c>
      <c r="W109" s="22">
        <v>92</v>
      </c>
      <c r="Z109" s="22" t="s">
        <v>406</v>
      </c>
      <c r="AA109" s="22">
        <v>90.6</v>
      </c>
      <c r="AB109" s="22">
        <v>90</v>
      </c>
      <c r="AC109" s="22">
        <v>90</v>
      </c>
      <c r="AD109" s="22">
        <v>95</v>
      </c>
      <c r="AE109" s="22">
        <v>90</v>
      </c>
      <c r="AH109" s="22" t="s">
        <v>406</v>
      </c>
      <c r="AI109" s="22">
        <v>89.4</v>
      </c>
      <c r="AJ109" s="22">
        <v>88</v>
      </c>
      <c r="AK109" s="22">
        <v>88</v>
      </c>
      <c r="AL109" s="22">
        <v>95</v>
      </c>
      <c r="AM109" s="22">
        <v>95</v>
      </c>
    </row>
    <row r="110" spans="1:39">
      <c r="A110" s="22" t="s">
        <v>407</v>
      </c>
      <c r="B110" s="22">
        <v>76.8</v>
      </c>
      <c r="C110" s="22">
        <v>75</v>
      </c>
      <c r="D110" s="22">
        <v>80</v>
      </c>
      <c r="E110" s="22">
        <v>95</v>
      </c>
      <c r="F110" s="22">
        <v>55</v>
      </c>
      <c r="G110" s="35"/>
      <c r="H110">
        <f t="shared" si="5"/>
        <v>1</v>
      </c>
      <c r="I110">
        <f t="shared" si="6"/>
        <v>1</v>
      </c>
      <c r="J110" s="22" t="s">
        <v>407</v>
      </c>
      <c r="K110" s="22">
        <v>80.6</v>
      </c>
      <c r="L110" s="22">
        <v>82</v>
      </c>
      <c r="M110" s="22">
        <v>80</v>
      </c>
      <c r="N110" s="22">
        <v>95</v>
      </c>
      <c r="O110" s="22">
        <v>50</v>
      </c>
      <c r="R110" s="22" t="s">
        <v>407</v>
      </c>
      <c r="S110" s="22">
        <v>83</v>
      </c>
      <c r="T110" s="22">
        <v>85</v>
      </c>
      <c r="U110" s="22">
        <v>80</v>
      </c>
      <c r="V110" s="22">
        <v>95</v>
      </c>
      <c r="W110" s="22">
        <v>58</v>
      </c>
      <c r="Z110" s="22" t="s">
        <v>407</v>
      </c>
      <c r="AA110" s="22">
        <v>71.8</v>
      </c>
      <c r="AB110" s="22">
        <v>70</v>
      </c>
      <c r="AC110" s="22">
        <v>72</v>
      </c>
      <c r="AD110" s="22">
        <v>92</v>
      </c>
      <c r="AE110" s="22">
        <v>55</v>
      </c>
      <c r="AH110" s="22" t="s">
        <v>407</v>
      </c>
      <c r="AI110" s="22">
        <v>81.4</v>
      </c>
      <c r="AJ110" s="22">
        <v>82</v>
      </c>
      <c r="AK110" s="22">
        <v>82</v>
      </c>
      <c r="AL110" s="22">
        <v>95</v>
      </c>
      <c r="AM110" s="22">
        <v>55</v>
      </c>
    </row>
    <row r="111" spans="1:39">
      <c r="A111" s="22" t="s">
        <v>408</v>
      </c>
      <c r="B111" s="22">
        <v>84.2</v>
      </c>
      <c r="C111" s="22">
        <v>82</v>
      </c>
      <c r="D111" s="22">
        <v>82</v>
      </c>
      <c r="E111" s="22">
        <v>95</v>
      </c>
      <c r="F111" s="22">
        <v>90</v>
      </c>
      <c r="G111" s="35"/>
      <c r="H111">
        <f t="shared" si="5"/>
        <v>1</v>
      </c>
      <c r="I111">
        <f t="shared" si="6"/>
        <v>1</v>
      </c>
      <c r="J111" s="22" t="s">
        <v>408</v>
      </c>
      <c r="K111" s="22">
        <v>86</v>
      </c>
      <c r="L111" s="22">
        <v>85</v>
      </c>
      <c r="M111" s="22">
        <v>82</v>
      </c>
      <c r="N111" s="22">
        <v>95</v>
      </c>
      <c r="O111" s="22">
        <v>90</v>
      </c>
      <c r="R111" s="22" t="s">
        <v>408</v>
      </c>
      <c r="S111" s="22">
        <v>85.2</v>
      </c>
      <c r="T111" s="22">
        <v>85</v>
      </c>
      <c r="U111" s="22">
        <v>78</v>
      </c>
      <c r="V111" s="22">
        <v>95</v>
      </c>
      <c r="W111" s="22">
        <v>90</v>
      </c>
      <c r="Z111" s="22" t="s">
        <v>408</v>
      </c>
      <c r="AA111" s="22">
        <v>71.6</v>
      </c>
      <c r="AB111" s="22">
        <v>65</v>
      </c>
      <c r="AC111" s="22">
        <v>70</v>
      </c>
      <c r="AD111" s="22">
        <v>95</v>
      </c>
      <c r="AE111" s="22">
        <v>90</v>
      </c>
      <c r="AH111" s="22" t="s">
        <v>408</v>
      </c>
      <c r="AI111" s="22">
        <v>83</v>
      </c>
      <c r="AJ111" s="22">
        <v>80</v>
      </c>
      <c r="AK111" s="22">
        <v>80</v>
      </c>
      <c r="AL111" s="22">
        <v>95</v>
      </c>
      <c r="AM111" s="22">
        <v>95</v>
      </c>
    </row>
    <row r="112" spans="1:39">
      <c r="A112" s="22" t="s">
        <v>409</v>
      </c>
      <c r="B112" s="22">
        <v>89</v>
      </c>
      <c r="C112" s="22">
        <v>89</v>
      </c>
      <c r="D112" s="22">
        <v>86</v>
      </c>
      <c r="E112" s="22">
        <v>95</v>
      </c>
      <c r="F112" s="22">
        <v>88</v>
      </c>
      <c r="G112" s="35"/>
      <c r="H112">
        <f t="shared" si="5"/>
        <v>1</v>
      </c>
      <c r="I112">
        <f t="shared" si="6"/>
        <v>1</v>
      </c>
      <c r="J112" s="22" t="s">
        <v>409</v>
      </c>
      <c r="K112" s="22">
        <v>96.8</v>
      </c>
      <c r="L112" s="22">
        <v>98</v>
      </c>
      <c r="M112" s="22">
        <v>95</v>
      </c>
      <c r="N112" s="22">
        <v>95</v>
      </c>
      <c r="O112" s="22">
        <v>95</v>
      </c>
      <c r="R112" s="22" t="s">
        <v>409</v>
      </c>
      <c r="S112" s="22">
        <v>93.4</v>
      </c>
      <c r="T112" s="22">
        <v>95</v>
      </c>
      <c r="U112" s="22">
        <v>88</v>
      </c>
      <c r="V112" s="22">
        <v>95</v>
      </c>
      <c r="W112" s="22">
        <v>92</v>
      </c>
      <c r="Z112" s="22" t="s">
        <v>409</v>
      </c>
      <c r="AA112" s="22">
        <v>90</v>
      </c>
      <c r="AB112" s="22">
        <v>92</v>
      </c>
      <c r="AC112" s="22">
        <v>80</v>
      </c>
      <c r="AD112" s="22">
        <v>95</v>
      </c>
      <c r="AE112" s="22">
        <v>92</v>
      </c>
      <c r="AH112" s="22" t="s">
        <v>409</v>
      </c>
      <c r="AI112" s="22">
        <v>91.6</v>
      </c>
      <c r="AJ112" s="22">
        <v>92</v>
      </c>
      <c r="AK112" s="22">
        <v>88</v>
      </c>
      <c r="AL112" s="22">
        <v>95</v>
      </c>
      <c r="AM112" s="22">
        <v>92</v>
      </c>
    </row>
    <row r="113" spans="1:39">
      <c r="A113" s="22" t="s">
        <v>410</v>
      </c>
      <c r="B113" s="22">
        <v>88.2</v>
      </c>
      <c r="C113" s="22">
        <v>88</v>
      </c>
      <c r="D113" s="22">
        <v>84</v>
      </c>
      <c r="E113" s="22">
        <v>95</v>
      </c>
      <c r="F113" s="22">
        <v>90</v>
      </c>
      <c r="G113" s="35"/>
      <c r="H113">
        <f t="shared" si="5"/>
        <v>1</v>
      </c>
      <c r="I113">
        <f t="shared" si="6"/>
        <v>1</v>
      </c>
      <c r="J113" s="22" t="s">
        <v>410</v>
      </c>
      <c r="K113" s="22">
        <v>85.8</v>
      </c>
      <c r="L113" s="22">
        <v>88</v>
      </c>
      <c r="M113" s="22">
        <v>72</v>
      </c>
      <c r="N113" s="22">
        <v>95</v>
      </c>
      <c r="O113" s="22">
        <v>90</v>
      </c>
      <c r="R113" s="22" t="s">
        <v>410</v>
      </c>
      <c r="S113" s="22">
        <v>89</v>
      </c>
      <c r="T113" s="22">
        <v>90</v>
      </c>
      <c r="U113" s="22">
        <v>82</v>
      </c>
      <c r="V113" s="22">
        <v>95</v>
      </c>
      <c r="W113" s="22">
        <v>90</v>
      </c>
      <c r="Z113" s="22" t="s">
        <v>410</v>
      </c>
      <c r="AA113" s="22">
        <v>82.8</v>
      </c>
      <c r="AB113" s="22">
        <v>82</v>
      </c>
      <c r="AC113" s="22">
        <v>75</v>
      </c>
      <c r="AD113" s="22">
        <v>95</v>
      </c>
      <c r="AE113" s="22">
        <v>90</v>
      </c>
      <c r="AH113" s="22" t="s">
        <v>410</v>
      </c>
      <c r="AI113" s="22">
        <v>86.2</v>
      </c>
      <c r="AJ113" s="22">
        <v>84</v>
      </c>
      <c r="AK113" s="22">
        <v>84</v>
      </c>
      <c r="AL113" s="22">
        <v>95</v>
      </c>
      <c r="AM113" s="22">
        <v>95</v>
      </c>
    </row>
    <row r="114" spans="1:39">
      <c r="A114" s="22" t="s">
        <v>411</v>
      </c>
      <c r="B114" s="22">
        <v>89</v>
      </c>
      <c r="C114" s="22">
        <v>88</v>
      </c>
      <c r="D114" s="22">
        <v>88</v>
      </c>
      <c r="E114" s="22">
        <v>95</v>
      </c>
      <c r="F114" s="22">
        <v>90</v>
      </c>
      <c r="G114" s="35"/>
      <c r="H114">
        <f t="shared" si="5"/>
        <v>1</v>
      </c>
      <c r="I114">
        <f t="shared" si="6"/>
        <v>1</v>
      </c>
      <c r="J114" s="22" t="s">
        <v>411</v>
      </c>
      <c r="K114" s="22">
        <v>80.6</v>
      </c>
      <c r="L114" s="22">
        <v>82</v>
      </c>
      <c r="M114" s="22">
        <v>80</v>
      </c>
      <c r="N114" s="22">
        <v>95</v>
      </c>
      <c r="O114" s="22">
        <v>50</v>
      </c>
      <c r="R114" s="22" t="s">
        <v>411</v>
      </c>
      <c r="S114" s="22">
        <v>90.2</v>
      </c>
      <c r="T114" s="22">
        <v>90</v>
      </c>
      <c r="U114" s="22">
        <v>88</v>
      </c>
      <c r="V114" s="22">
        <v>95</v>
      </c>
      <c r="W114" s="22">
        <v>90</v>
      </c>
      <c r="Z114" s="22" t="s">
        <v>411</v>
      </c>
      <c r="AA114" s="22">
        <v>86.6</v>
      </c>
      <c r="AB114" s="22">
        <v>85</v>
      </c>
      <c r="AC114" s="22">
        <v>85</v>
      </c>
      <c r="AD114" s="22">
        <v>95</v>
      </c>
      <c r="AE114" s="22">
        <v>90</v>
      </c>
      <c r="AH114" s="22" t="s">
        <v>411</v>
      </c>
      <c r="AI114" s="22">
        <v>87.2</v>
      </c>
      <c r="AJ114" s="22">
        <v>85</v>
      </c>
      <c r="AK114" s="22">
        <v>86</v>
      </c>
      <c r="AL114" s="22">
        <v>95</v>
      </c>
      <c r="AM114" s="22">
        <v>95</v>
      </c>
    </row>
    <row r="115" spans="1:39">
      <c r="A115" s="22" t="s">
        <v>412</v>
      </c>
      <c r="B115" s="22">
        <v>76.8</v>
      </c>
      <c r="C115" s="22">
        <v>75</v>
      </c>
      <c r="D115" s="22">
        <v>80</v>
      </c>
      <c r="E115" s="22">
        <v>95</v>
      </c>
      <c r="F115" s="22">
        <v>55</v>
      </c>
      <c r="G115" s="35"/>
      <c r="H115">
        <f t="shared" si="5"/>
        <v>1</v>
      </c>
      <c r="I115">
        <f t="shared" si="6"/>
        <v>1</v>
      </c>
      <c r="J115" s="22" t="s">
        <v>412</v>
      </c>
      <c r="K115" s="22">
        <v>90.2</v>
      </c>
      <c r="L115" s="22">
        <v>90</v>
      </c>
      <c r="M115" s="22">
        <v>88</v>
      </c>
      <c r="N115" s="22">
        <v>95</v>
      </c>
      <c r="O115" s="22">
        <v>90</v>
      </c>
      <c r="R115" s="22" t="s">
        <v>412</v>
      </c>
      <c r="S115" s="22">
        <v>83.4</v>
      </c>
      <c r="T115" s="22">
        <v>85</v>
      </c>
      <c r="U115" s="22">
        <v>82</v>
      </c>
      <c r="V115" s="22">
        <v>95</v>
      </c>
      <c r="W115" s="22">
        <v>58</v>
      </c>
      <c r="Z115" s="22" t="s">
        <v>412</v>
      </c>
      <c r="AA115" s="22">
        <v>70.6</v>
      </c>
      <c r="AB115" s="22">
        <v>68</v>
      </c>
      <c r="AC115" s="22">
        <v>72</v>
      </c>
      <c r="AD115" s="22">
        <v>92</v>
      </c>
      <c r="AE115" s="22">
        <v>55</v>
      </c>
      <c r="AH115" s="22" t="s">
        <v>412</v>
      </c>
      <c r="AI115" s="22">
        <v>81.4</v>
      </c>
      <c r="AJ115" s="22">
        <v>82</v>
      </c>
      <c r="AK115" s="22">
        <v>82</v>
      </c>
      <c r="AL115" s="22">
        <v>95</v>
      </c>
      <c r="AM115" s="22">
        <v>55</v>
      </c>
    </row>
    <row r="116" spans="1:39">
      <c r="A116" s="22" t="s">
        <v>413</v>
      </c>
      <c r="B116" s="22">
        <v>88.2</v>
      </c>
      <c r="C116" s="22">
        <v>88</v>
      </c>
      <c r="D116" s="22">
        <v>84</v>
      </c>
      <c r="E116" s="22">
        <v>95</v>
      </c>
      <c r="F116" s="22">
        <v>90</v>
      </c>
      <c r="G116" s="35"/>
      <c r="H116">
        <f t="shared" si="5"/>
        <v>1</v>
      </c>
      <c r="I116">
        <f t="shared" si="6"/>
        <v>1</v>
      </c>
      <c r="J116" s="22" t="s">
        <v>413</v>
      </c>
      <c r="K116" s="22">
        <v>89.4</v>
      </c>
      <c r="L116" s="22">
        <v>90</v>
      </c>
      <c r="M116" s="22">
        <v>85</v>
      </c>
      <c r="N116" s="22">
        <v>95</v>
      </c>
      <c r="O116" s="22">
        <v>88</v>
      </c>
      <c r="R116" s="22" t="s">
        <v>413</v>
      </c>
      <c r="S116" s="22">
        <v>89.4</v>
      </c>
      <c r="T116" s="22">
        <v>90</v>
      </c>
      <c r="U116" s="22">
        <v>84</v>
      </c>
      <c r="V116" s="22">
        <v>95</v>
      </c>
      <c r="W116" s="22">
        <v>90</v>
      </c>
      <c r="Z116" s="22" t="s">
        <v>413</v>
      </c>
      <c r="AA116" s="22">
        <v>83.4</v>
      </c>
      <c r="AB116" s="22">
        <v>82</v>
      </c>
      <c r="AC116" s="22">
        <v>78</v>
      </c>
      <c r="AD116" s="22">
        <v>95</v>
      </c>
      <c r="AE116" s="22">
        <v>90</v>
      </c>
      <c r="AH116" s="22" t="s">
        <v>413</v>
      </c>
      <c r="AI116" s="22">
        <v>86</v>
      </c>
      <c r="AJ116" s="22">
        <v>84</v>
      </c>
      <c r="AK116" s="22">
        <v>83</v>
      </c>
      <c r="AL116" s="22">
        <v>95</v>
      </c>
      <c r="AM116" s="22">
        <v>95</v>
      </c>
    </row>
    <row r="117" spans="1:39">
      <c r="A117" s="22" t="s">
        <v>414</v>
      </c>
      <c r="B117" s="22">
        <v>89.8</v>
      </c>
      <c r="C117" s="22">
        <v>88</v>
      </c>
      <c r="D117" s="22">
        <v>92</v>
      </c>
      <c r="E117" s="22">
        <v>95</v>
      </c>
      <c r="F117" s="22">
        <v>90</v>
      </c>
      <c r="G117" s="35"/>
      <c r="H117">
        <f t="shared" si="5"/>
        <v>1</v>
      </c>
      <c r="I117">
        <f t="shared" si="6"/>
        <v>1</v>
      </c>
      <c r="J117" s="22" t="s">
        <v>414</v>
      </c>
      <c r="K117" s="22">
        <v>87</v>
      </c>
      <c r="L117" s="22">
        <v>88</v>
      </c>
      <c r="M117" s="22">
        <v>78</v>
      </c>
      <c r="N117" s="22">
        <v>95</v>
      </c>
      <c r="O117" s="22">
        <v>90</v>
      </c>
      <c r="R117" s="22" t="s">
        <v>414</v>
      </c>
      <c r="S117" s="22">
        <v>92.2</v>
      </c>
      <c r="T117" s="22">
        <v>92</v>
      </c>
      <c r="U117" s="22">
        <v>92</v>
      </c>
      <c r="V117" s="22">
        <v>95</v>
      </c>
      <c r="W117" s="22">
        <v>90</v>
      </c>
      <c r="Z117" s="22" t="s">
        <v>414</v>
      </c>
      <c r="AA117" s="22">
        <v>89.8</v>
      </c>
      <c r="AB117" s="22">
        <v>88</v>
      </c>
      <c r="AC117" s="22">
        <v>92</v>
      </c>
      <c r="AD117" s="22">
        <v>95</v>
      </c>
      <c r="AE117" s="22">
        <v>90</v>
      </c>
      <c r="AH117" s="22" t="s">
        <v>414</v>
      </c>
      <c r="AI117" s="22">
        <v>88.2</v>
      </c>
      <c r="AJ117" s="22">
        <v>86</v>
      </c>
      <c r="AK117" s="22">
        <v>88</v>
      </c>
      <c r="AL117" s="22">
        <v>95</v>
      </c>
      <c r="AM117" s="22">
        <v>95</v>
      </c>
    </row>
    <row r="118" spans="1:39">
      <c r="A118" s="22" t="s">
        <v>415</v>
      </c>
      <c r="B118" s="22">
        <v>88</v>
      </c>
      <c r="C118" s="22">
        <v>88</v>
      </c>
      <c r="D118" s="22">
        <v>84</v>
      </c>
      <c r="E118" s="22">
        <v>95</v>
      </c>
      <c r="F118" s="22">
        <v>88</v>
      </c>
      <c r="G118" s="35"/>
      <c r="H118">
        <f t="shared" si="5"/>
        <v>1</v>
      </c>
      <c r="I118">
        <f t="shared" si="6"/>
        <v>1</v>
      </c>
      <c r="J118" s="22" t="s">
        <v>415</v>
      </c>
      <c r="K118" s="22">
        <v>81.2</v>
      </c>
      <c r="L118" s="22">
        <v>85</v>
      </c>
      <c r="M118" s="22">
        <v>60</v>
      </c>
      <c r="N118" s="22">
        <v>95</v>
      </c>
      <c r="O118" s="22">
        <v>85</v>
      </c>
      <c r="R118" s="22" t="s">
        <v>415</v>
      </c>
      <c r="S118" s="22">
        <v>91</v>
      </c>
      <c r="T118" s="22">
        <v>92</v>
      </c>
      <c r="U118" s="22">
        <v>85</v>
      </c>
      <c r="V118" s="22">
        <v>95</v>
      </c>
      <c r="W118" s="22">
        <v>92</v>
      </c>
      <c r="Z118" s="22" t="s">
        <v>415</v>
      </c>
      <c r="AA118" s="22">
        <v>88.8</v>
      </c>
      <c r="AB118" s="22">
        <v>90</v>
      </c>
      <c r="AC118" s="22">
        <v>80</v>
      </c>
      <c r="AD118" s="22">
        <v>95</v>
      </c>
      <c r="AE118" s="22">
        <v>92</v>
      </c>
      <c r="AH118" s="22" t="s">
        <v>415</v>
      </c>
      <c r="AI118" s="22">
        <v>91.2</v>
      </c>
      <c r="AJ118" s="22">
        <v>92</v>
      </c>
      <c r="AK118" s="22">
        <v>86</v>
      </c>
      <c r="AL118" s="22">
        <v>95</v>
      </c>
      <c r="AM118" s="22">
        <v>92</v>
      </c>
    </row>
    <row r="119" spans="1:39">
      <c r="A119" s="22" t="s">
        <v>416</v>
      </c>
      <c r="B119" s="22">
        <v>86.4</v>
      </c>
      <c r="C119" s="22">
        <v>87</v>
      </c>
      <c r="D119" s="22">
        <v>78</v>
      </c>
      <c r="E119" s="22">
        <v>95</v>
      </c>
      <c r="F119" s="22">
        <v>90</v>
      </c>
      <c r="G119" s="35"/>
      <c r="H119">
        <f t="shared" si="5"/>
        <v>1</v>
      </c>
      <c r="I119">
        <f t="shared" si="6"/>
        <v>1</v>
      </c>
      <c r="J119" s="22" t="s">
        <v>416</v>
      </c>
      <c r="K119" s="22">
        <v>85.6</v>
      </c>
      <c r="L119" s="22">
        <v>85</v>
      </c>
      <c r="M119" s="22">
        <v>80</v>
      </c>
      <c r="N119" s="22">
        <v>95</v>
      </c>
      <c r="O119" s="22">
        <v>90</v>
      </c>
      <c r="R119" s="22" t="s">
        <v>416</v>
      </c>
      <c r="S119" s="22">
        <v>89</v>
      </c>
      <c r="T119" s="22">
        <v>90</v>
      </c>
      <c r="U119" s="22">
        <v>82</v>
      </c>
      <c r="V119" s="22">
        <v>95</v>
      </c>
      <c r="W119" s="22">
        <v>90</v>
      </c>
      <c r="Z119" s="22" t="s">
        <v>416</v>
      </c>
      <c r="AA119" s="22">
        <v>82.8</v>
      </c>
      <c r="AB119" s="22">
        <v>82</v>
      </c>
      <c r="AC119" s="22">
        <v>75</v>
      </c>
      <c r="AD119" s="22">
        <v>95</v>
      </c>
      <c r="AE119" s="22">
        <v>90</v>
      </c>
      <c r="AH119" s="22" t="s">
        <v>416</v>
      </c>
      <c r="AI119" s="22">
        <v>84.2</v>
      </c>
      <c r="AJ119" s="22">
        <v>82</v>
      </c>
      <c r="AK119" s="22">
        <v>80</v>
      </c>
      <c r="AL119" s="22">
        <v>95</v>
      </c>
      <c r="AM119" s="22">
        <v>95</v>
      </c>
    </row>
    <row r="120" spans="1:39">
      <c r="A120" s="22" t="s">
        <v>417</v>
      </c>
      <c r="B120" s="22">
        <v>84.8</v>
      </c>
      <c r="C120" s="22">
        <v>85</v>
      </c>
      <c r="D120" s="22">
        <v>76</v>
      </c>
      <c r="E120" s="22">
        <v>95</v>
      </c>
      <c r="F120" s="22">
        <v>90</v>
      </c>
      <c r="G120" s="35"/>
      <c r="H120">
        <f t="shared" si="5"/>
        <v>1</v>
      </c>
      <c r="I120">
        <f t="shared" si="6"/>
        <v>1</v>
      </c>
      <c r="J120" s="22" t="s">
        <v>417</v>
      </c>
      <c r="K120" s="22">
        <v>81.2</v>
      </c>
      <c r="L120" s="22">
        <v>85</v>
      </c>
      <c r="M120" s="22">
        <v>60</v>
      </c>
      <c r="N120" s="22">
        <v>95</v>
      </c>
      <c r="O120" s="22">
        <v>85</v>
      </c>
      <c r="R120" s="22" t="s">
        <v>417</v>
      </c>
      <c r="S120" s="22">
        <v>85.4</v>
      </c>
      <c r="T120" s="22">
        <v>88</v>
      </c>
      <c r="U120" s="22">
        <v>72</v>
      </c>
      <c r="V120" s="22">
        <v>92</v>
      </c>
      <c r="W120" s="22">
        <v>90</v>
      </c>
      <c r="Z120" s="22" t="s">
        <v>417</v>
      </c>
      <c r="AA120" s="22">
        <v>71.6</v>
      </c>
      <c r="AB120" s="22">
        <v>65</v>
      </c>
      <c r="AC120" s="22">
        <v>70</v>
      </c>
      <c r="AD120" s="22">
        <v>95</v>
      </c>
      <c r="AE120" s="22">
        <v>90</v>
      </c>
      <c r="AH120" s="22" t="s">
        <v>417</v>
      </c>
      <c r="AI120" s="22">
        <v>82.6</v>
      </c>
      <c r="AJ120" s="22">
        <v>80</v>
      </c>
      <c r="AK120" s="22">
        <v>78</v>
      </c>
      <c r="AL120" s="22">
        <v>95</v>
      </c>
      <c r="AM120" s="22">
        <v>95</v>
      </c>
    </row>
    <row r="121" spans="1:39">
      <c r="A121" s="22" t="s">
        <v>418</v>
      </c>
      <c r="B121" s="22">
        <v>84.2</v>
      </c>
      <c r="C121" s="22">
        <v>82</v>
      </c>
      <c r="D121" s="22">
        <v>82</v>
      </c>
      <c r="E121" s="22">
        <v>95</v>
      </c>
      <c r="F121" s="22">
        <v>90</v>
      </c>
      <c r="G121" s="35"/>
      <c r="H121">
        <f t="shared" si="5"/>
        <v>1</v>
      </c>
      <c r="I121">
        <f t="shared" si="6"/>
        <v>1</v>
      </c>
      <c r="J121" s="22" t="s">
        <v>418</v>
      </c>
      <c r="K121" s="22">
        <v>85.6</v>
      </c>
      <c r="L121" s="22">
        <v>85</v>
      </c>
      <c r="M121" s="22">
        <v>80</v>
      </c>
      <c r="N121" s="22">
        <v>95</v>
      </c>
      <c r="O121" s="22">
        <v>90</v>
      </c>
      <c r="R121" s="22" t="s">
        <v>418</v>
      </c>
      <c r="S121" s="22">
        <v>83.4</v>
      </c>
      <c r="T121" s="22">
        <v>82</v>
      </c>
      <c r="U121" s="22">
        <v>78</v>
      </c>
      <c r="V121" s="22">
        <v>95</v>
      </c>
      <c r="W121" s="22">
        <v>90</v>
      </c>
      <c r="Z121" s="22" t="s">
        <v>418</v>
      </c>
      <c r="AA121" s="22">
        <v>83.4</v>
      </c>
      <c r="AB121" s="22">
        <v>82</v>
      </c>
      <c r="AC121" s="22">
        <v>78</v>
      </c>
      <c r="AD121" s="22">
        <v>95</v>
      </c>
      <c r="AE121" s="22">
        <v>90</v>
      </c>
      <c r="AH121" s="22" t="s">
        <v>418</v>
      </c>
      <c r="AI121" s="22">
        <v>82.4</v>
      </c>
      <c r="AJ121" s="22">
        <v>79</v>
      </c>
      <c r="AK121" s="22">
        <v>80</v>
      </c>
      <c r="AL121" s="22">
        <v>95</v>
      </c>
      <c r="AM121" s="22">
        <v>95</v>
      </c>
    </row>
    <row r="122" spans="1:39">
      <c r="A122" s="22" t="s">
        <v>419</v>
      </c>
      <c r="B122" s="22">
        <v>94.4</v>
      </c>
      <c r="C122" s="22">
        <v>95</v>
      </c>
      <c r="D122" s="22">
        <v>92</v>
      </c>
      <c r="E122" s="22">
        <v>95</v>
      </c>
      <c r="F122" s="22">
        <v>95</v>
      </c>
      <c r="G122" s="35"/>
      <c r="H122">
        <f t="shared" si="5"/>
        <v>1</v>
      </c>
      <c r="I122">
        <f t="shared" si="6"/>
        <v>1</v>
      </c>
      <c r="J122" s="22" t="s">
        <v>419</v>
      </c>
      <c r="K122" s="22">
        <v>94</v>
      </c>
      <c r="L122" s="22">
        <v>95</v>
      </c>
      <c r="M122" s="22">
        <v>92</v>
      </c>
      <c r="N122" s="22">
        <v>92</v>
      </c>
      <c r="O122" s="22">
        <v>95</v>
      </c>
      <c r="R122" s="22" t="s">
        <v>419</v>
      </c>
      <c r="S122" s="22">
        <v>94.6</v>
      </c>
      <c r="T122" s="22">
        <v>95</v>
      </c>
      <c r="U122" s="22">
        <v>95</v>
      </c>
      <c r="V122" s="22">
        <v>95</v>
      </c>
      <c r="W122" s="22">
        <v>90</v>
      </c>
      <c r="Z122" s="22" t="s">
        <v>419</v>
      </c>
      <c r="AA122" s="22">
        <v>94</v>
      </c>
      <c r="AB122" s="22">
        <v>95</v>
      </c>
      <c r="AC122" s="22">
        <v>92</v>
      </c>
      <c r="AD122" s="22">
        <v>95</v>
      </c>
      <c r="AE122" s="22">
        <v>90</v>
      </c>
      <c r="AH122" s="22" t="s">
        <v>419</v>
      </c>
      <c r="AI122" s="22">
        <v>92.2</v>
      </c>
      <c r="AJ122" s="22">
        <v>92</v>
      </c>
      <c r="AK122" s="22">
        <v>92</v>
      </c>
      <c r="AL122" s="22">
        <v>95</v>
      </c>
      <c r="AM122" s="22">
        <v>90</v>
      </c>
    </row>
    <row r="123" spans="1:39">
      <c r="A123" s="22" t="s">
        <v>420</v>
      </c>
      <c r="B123" s="22">
        <v>83.8</v>
      </c>
      <c r="C123" s="22">
        <v>82</v>
      </c>
      <c r="D123" s="22">
        <v>80</v>
      </c>
      <c r="E123" s="22">
        <v>95</v>
      </c>
      <c r="F123" s="22">
        <v>90</v>
      </c>
      <c r="G123" s="35"/>
      <c r="H123">
        <f t="shared" si="5"/>
        <v>1</v>
      </c>
      <c r="I123">
        <f t="shared" si="6"/>
        <v>1</v>
      </c>
      <c r="J123" s="22" t="s">
        <v>420</v>
      </c>
      <c r="K123" s="22">
        <v>83.2</v>
      </c>
      <c r="L123" s="22">
        <v>82</v>
      </c>
      <c r="M123" s="22">
        <v>78</v>
      </c>
      <c r="N123" s="22">
        <v>90</v>
      </c>
      <c r="O123" s="22">
        <v>95</v>
      </c>
      <c r="R123" s="22" t="s">
        <v>420</v>
      </c>
      <c r="S123" s="22">
        <v>89.2</v>
      </c>
      <c r="T123" s="22">
        <v>90</v>
      </c>
      <c r="U123" s="22">
        <v>85</v>
      </c>
      <c r="V123" s="22">
        <v>95</v>
      </c>
      <c r="W123" s="22">
        <v>85</v>
      </c>
      <c r="Z123" s="22" t="s">
        <v>420</v>
      </c>
      <c r="AA123" s="22">
        <v>80.4</v>
      </c>
      <c r="AB123" s="22">
        <v>78</v>
      </c>
      <c r="AC123" s="22">
        <v>75</v>
      </c>
      <c r="AD123" s="22">
        <v>95</v>
      </c>
      <c r="AE123" s="22">
        <v>90</v>
      </c>
      <c r="AH123" s="22" t="s">
        <v>420</v>
      </c>
      <c r="AI123" s="22">
        <v>83.6</v>
      </c>
      <c r="AJ123" s="22">
        <v>80</v>
      </c>
      <c r="AK123" s="22">
        <v>85</v>
      </c>
      <c r="AL123" s="22">
        <v>95</v>
      </c>
      <c r="AM123" s="22">
        <v>90</v>
      </c>
    </row>
    <row r="124" spans="1:39">
      <c r="A124" s="22" t="s">
        <v>421</v>
      </c>
      <c r="B124" s="22">
        <v>85.6</v>
      </c>
      <c r="C124" s="22">
        <v>85</v>
      </c>
      <c r="D124" s="22">
        <v>80</v>
      </c>
      <c r="E124" s="22">
        <v>95</v>
      </c>
      <c r="F124" s="22">
        <v>90</v>
      </c>
      <c r="G124" s="35"/>
      <c r="H124">
        <f t="shared" si="5"/>
        <v>1</v>
      </c>
      <c r="I124">
        <f t="shared" si="6"/>
        <v>1</v>
      </c>
      <c r="J124" s="22" t="s">
        <v>421</v>
      </c>
      <c r="K124" s="22">
        <v>85.8</v>
      </c>
      <c r="L124" s="22">
        <v>85</v>
      </c>
      <c r="M124" s="22">
        <v>82</v>
      </c>
      <c r="N124" s="22">
        <v>90</v>
      </c>
      <c r="O124" s="22">
        <v>95</v>
      </c>
      <c r="R124" s="22" t="s">
        <v>421</v>
      </c>
      <c r="S124" s="22">
        <v>89.2</v>
      </c>
      <c r="T124" s="22">
        <v>90</v>
      </c>
      <c r="U124" s="22">
        <v>85</v>
      </c>
      <c r="V124" s="22">
        <v>95</v>
      </c>
      <c r="W124" s="22">
        <v>85</v>
      </c>
      <c r="Z124" s="22" t="s">
        <v>421</v>
      </c>
      <c r="AA124" s="22">
        <v>80.4</v>
      </c>
      <c r="AB124" s="22">
        <v>78</v>
      </c>
      <c r="AC124" s="22">
        <v>75</v>
      </c>
      <c r="AD124" s="22">
        <v>95</v>
      </c>
      <c r="AE124" s="22">
        <v>90</v>
      </c>
      <c r="AH124" s="22" t="s">
        <v>421</v>
      </c>
      <c r="AI124" s="22">
        <v>90.2</v>
      </c>
      <c r="AJ124" s="22">
        <v>90</v>
      </c>
      <c r="AK124" s="22">
        <v>88</v>
      </c>
      <c r="AL124" s="22">
        <v>95</v>
      </c>
      <c r="AM124" s="22">
        <v>90</v>
      </c>
    </row>
    <row r="125" spans="1:39">
      <c r="A125" s="22" t="s">
        <v>422</v>
      </c>
      <c r="B125" s="22">
        <v>29.6</v>
      </c>
      <c r="C125" s="22">
        <v>20</v>
      </c>
      <c r="D125" s="22">
        <v>35</v>
      </c>
      <c r="E125" s="22">
        <v>55</v>
      </c>
      <c r="F125" s="22">
        <v>50</v>
      </c>
      <c r="G125" s="35"/>
      <c r="H125">
        <f t="shared" si="5"/>
        <v>1</v>
      </c>
      <c r="I125">
        <f t="shared" si="6"/>
        <v>1</v>
      </c>
      <c r="J125" s="22" t="s">
        <v>422</v>
      </c>
      <c r="K125" s="22">
        <v>25</v>
      </c>
      <c r="L125" s="22">
        <v>20</v>
      </c>
      <c r="M125" s="22">
        <v>15</v>
      </c>
      <c r="N125" s="22">
        <v>50</v>
      </c>
      <c r="O125" s="22">
        <v>50</v>
      </c>
      <c r="R125" s="22" t="s">
        <v>422</v>
      </c>
      <c r="S125" s="22">
        <v>26.2</v>
      </c>
      <c r="T125" s="22">
        <v>18</v>
      </c>
      <c r="U125" s="22">
        <v>30</v>
      </c>
      <c r="V125" s="22">
        <v>45</v>
      </c>
      <c r="W125" s="22">
        <v>50</v>
      </c>
      <c r="Z125" s="22" t="s">
        <v>422</v>
      </c>
      <c r="AA125" s="22">
        <v>22.6</v>
      </c>
      <c r="AB125" s="22">
        <v>15</v>
      </c>
      <c r="AC125" s="22">
        <v>20</v>
      </c>
      <c r="AD125" s="22">
        <v>60</v>
      </c>
      <c r="AE125" s="22">
        <v>30</v>
      </c>
      <c r="AH125" s="22" t="s">
        <v>422</v>
      </c>
      <c r="AI125" s="22">
        <v>33.8</v>
      </c>
      <c r="AJ125" s="22">
        <v>25</v>
      </c>
      <c r="AK125" s="22">
        <v>25</v>
      </c>
      <c r="AL125" s="22">
        <v>75</v>
      </c>
      <c r="AM125" s="22">
        <v>60</v>
      </c>
    </row>
    <row r="126" spans="1:39">
      <c r="A126" s="22" t="s">
        <v>423</v>
      </c>
      <c r="B126" s="22">
        <v>85.2</v>
      </c>
      <c r="C126" s="22">
        <v>85</v>
      </c>
      <c r="D126" s="22">
        <v>78</v>
      </c>
      <c r="E126" s="22">
        <v>95</v>
      </c>
      <c r="F126" s="22">
        <v>90</v>
      </c>
      <c r="G126" s="35"/>
      <c r="H126">
        <f t="shared" si="5"/>
        <v>1</v>
      </c>
      <c r="I126">
        <f t="shared" si="6"/>
        <v>1</v>
      </c>
      <c r="J126" s="22" t="s">
        <v>423</v>
      </c>
      <c r="K126" s="22">
        <v>85.4</v>
      </c>
      <c r="L126" s="22">
        <v>85</v>
      </c>
      <c r="M126" s="22">
        <v>80</v>
      </c>
      <c r="N126" s="22">
        <v>90</v>
      </c>
      <c r="O126" s="22">
        <v>95</v>
      </c>
      <c r="R126" s="22" t="s">
        <v>423</v>
      </c>
      <c r="S126" s="22">
        <v>89.2</v>
      </c>
      <c r="T126" s="22">
        <v>90</v>
      </c>
      <c r="U126" s="22">
        <v>85</v>
      </c>
      <c r="V126" s="22">
        <v>95</v>
      </c>
      <c r="W126" s="22">
        <v>85</v>
      </c>
      <c r="Z126" s="22" t="s">
        <v>423</v>
      </c>
      <c r="AA126" s="22">
        <v>83.4</v>
      </c>
      <c r="AB126" s="22">
        <v>82</v>
      </c>
      <c r="AC126" s="22">
        <v>78</v>
      </c>
      <c r="AD126" s="22">
        <v>95</v>
      </c>
      <c r="AE126" s="22">
        <v>90</v>
      </c>
      <c r="AH126" s="22" t="s">
        <v>423</v>
      </c>
      <c r="AI126" s="22">
        <v>90.2</v>
      </c>
      <c r="AJ126" s="22">
        <v>90</v>
      </c>
      <c r="AK126" s="22">
        <v>88</v>
      </c>
      <c r="AL126" s="22">
        <v>95</v>
      </c>
      <c r="AM126" s="22">
        <v>90</v>
      </c>
    </row>
    <row r="127" spans="1:39">
      <c r="A127" s="22" t="s">
        <v>424</v>
      </c>
      <c r="B127" s="22">
        <v>85</v>
      </c>
      <c r="C127" s="22">
        <v>88</v>
      </c>
      <c r="D127" s="22">
        <v>82</v>
      </c>
      <c r="E127" s="22">
        <v>95</v>
      </c>
      <c r="F127" s="22">
        <v>55</v>
      </c>
      <c r="G127" s="35"/>
      <c r="H127">
        <f t="shared" si="5"/>
        <v>1</v>
      </c>
      <c r="I127">
        <f t="shared" si="6"/>
        <v>1</v>
      </c>
      <c r="J127" s="22" t="s">
        <v>424</v>
      </c>
      <c r="K127" s="22">
        <v>85</v>
      </c>
      <c r="L127" s="22">
        <v>88</v>
      </c>
      <c r="M127" s="22">
        <v>85</v>
      </c>
      <c r="N127" s="22">
        <v>90</v>
      </c>
      <c r="O127" s="22">
        <v>55</v>
      </c>
      <c r="R127" s="22" t="s">
        <v>424</v>
      </c>
      <c r="S127" s="22">
        <v>85</v>
      </c>
      <c r="T127" s="22">
        <v>88</v>
      </c>
      <c r="U127" s="22">
        <v>82</v>
      </c>
      <c r="V127" s="22">
        <v>95</v>
      </c>
      <c r="W127" s="22">
        <v>55</v>
      </c>
      <c r="Z127" s="22" t="s">
        <v>424</v>
      </c>
      <c r="AA127" s="22">
        <v>79.8</v>
      </c>
      <c r="AB127" s="22">
        <v>80</v>
      </c>
      <c r="AC127" s="22">
        <v>78</v>
      </c>
      <c r="AD127" s="22">
        <v>95</v>
      </c>
      <c r="AE127" s="22">
        <v>60</v>
      </c>
      <c r="AH127" s="22" t="s">
        <v>424</v>
      </c>
      <c r="AI127" s="22">
        <v>82</v>
      </c>
      <c r="AJ127" s="22">
        <v>82</v>
      </c>
      <c r="AK127" s="22">
        <v>85</v>
      </c>
      <c r="AL127" s="22">
        <v>95</v>
      </c>
      <c r="AM127" s="22">
        <v>55</v>
      </c>
    </row>
    <row r="128" spans="1:39">
      <c r="A128" s="22" t="s">
        <v>425</v>
      </c>
      <c r="B128" s="22">
        <v>85.2</v>
      </c>
      <c r="C128" s="22">
        <v>85</v>
      </c>
      <c r="D128" s="22">
        <v>78</v>
      </c>
      <c r="E128" s="22">
        <v>95</v>
      </c>
      <c r="F128" s="22">
        <v>90</v>
      </c>
      <c r="G128" s="35"/>
      <c r="H128">
        <f t="shared" si="5"/>
        <v>1</v>
      </c>
      <c r="I128">
        <f t="shared" si="6"/>
        <v>1</v>
      </c>
      <c r="J128" s="22" t="s">
        <v>425</v>
      </c>
      <c r="K128" s="22">
        <v>85.8</v>
      </c>
      <c r="L128" s="22">
        <v>85</v>
      </c>
      <c r="M128" s="22">
        <v>82</v>
      </c>
      <c r="N128" s="22">
        <v>90</v>
      </c>
      <c r="O128" s="22">
        <v>95</v>
      </c>
      <c r="R128" s="22" t="s">
        <v>425</v>
      </c>
      <c r="S128" s="22">
        <v>89.2</v>
      </c>
      <c r="T128" s="22">
        <v>90</v>
      </c>
      <c r="U128" s="22">
        <v>85</v>
      </c>
      <c r="V128" s="22">
        <v>95</v>
      </c>
      <c r="W128" s="22">
        <v>85</v>
      </c>
      <c r="Z128" s="22" t="s">
        <v>425</v>
      </c>
      <c r="AA128" s="22">
        <v>85.6</v>
      </c>
      <c r="AB128" s="22">
        <v>85</v>
      </c>
      <c r="AC128" s="22">
        <v>80</v>
      </c>
      <c r="AD128" s="22">
        <v>95</v>
      </c>
      <c r="AE128" s="22">
        <v>90</v>
      </c>
      <c r="AH128" s="22" t="s">
        <v>425</v>
      </c>
      <c r="AI128" s="22">
        <v>89.6</v>
      </c>
      <c r="AJ128" s="22">
        <v>90</v>
      </c>
      <c r="AK128" s="22">
        <v>85</v>
      </c>
      <c r="AL128" s="22">
        <v>95</v>
      </c>
      <c r="AM128" s="22">
        <v>90</v>
      </c>
    </row>
    <row r="129" spans="1:39">
      <c r="A129" s="22" t="s">
        <v>426</v>
      </c>
      <c r="B129" s="22">
        <v>84.6</v>
      </c>
      <c r="C129" s="22">
        <v>85</v>
      </c>
      <c r="D129" s="22">
        <v>75</v>
      </c>
      <c r="E129" s="22">
        <v>95</v>
      </c>
      <c r="F129" s="22">
        <v>90</v>
      </c>
      <c r="G129" s="35"/>
      <c r="H129">
        <f t="shared" si="5"/>
        <v>1</v>
      </c>
      <c r="I129">
        <f t="shared" si="6"/>
        <v>1</v>
      </c>
      <c r="J129" s="22" t="s">
        <v>426</v>
      </c>
      <c r="K129" s="22">
        <v>84.4</v>
      </c>
      <c r="L129" s="22">
        <v>85</v>
      </c>
      <c r="M129" s="22">
        <v>75</v>
      </c>
      <c r="N129" s="22">
        <v>90</v>
      </c>
      <c r="O129" s="22">
        <v>95</v>
      </c>
      <c r="R129" s="22" t="s">
        <v>426</v>
      </c>
      <c r="S129" s="22">
        <v>87.8</v>
      </c>
      <c r="T129" s="22">
        <v>90</v>
      </c>
      <c r="U129" s="22">
        <v>78</v>
      </c>
      <c r="V129" s="22">
        <v>95</v>
      </c>
      <c r="W129" s="22">
        <v>85</v>
      </c>
      <c r="Z129" s="22" t="s">
        <v>426</v>
      </c>
      <c r="AA129" s="22">
        <v>80.6</v>
      </c>
      <c r="AB129" s="22">
        <v>80</v>
      </c>
      <c r="AC129" s="22">
        <v>70</v>
      </c>
      <c r="AD129" s="22">
        <v>95</v>
      </c>
      <c r="AE129" s="22">
        <v>90</v>
      </c>
      <c r="AH129" s="22" t="s">
        <v>426</v>
      </c>
      <c r="AI129" s="22">
        <v>89.6</v>
      </c>
      <c r="AJ129" s="22">
        <v>90</v>
      </c>
      <c r="AK129" s="22">
        <v>85</v>
      </c>
      <c r="AL129" s="22">
        <v>95</v>
      </c>
      <c r="AM129" s="22">
        <v>90</v>
      </c>
    </row>
    <row r="130" spans="1:39">
      <c r="A130" s="22" t="s">
        <v>427</v>
      </c>
      <c r="B130" s="22">
        <v>93</v>
      </c>
      <c r="C130" s="22">
        <v>95</v>
      </c>
      <c r="D130" s="22">
        <v>85</v>
      </c>
      <c r="E130" s="22">
        <v>95</v>
      </c>
      <c r="F130" s="22">
        <v>95</v>
      </c>
      <c r="G130" s="35"/>
      <c r="H130">
        <f t="shared" si="5"/>
        <v>1</v>
      </c>
      <c r="I130">
        <f t="shared" si="6"/>
        <v>1</v>
      </c>
      <c r="J130" s="22" t="s">
        <v>427</v>
      </c>
      <c r="K130" s="22">
        <v>94</v>
      </c>
      <c r="L130" s="22">
        <v>95</v>
      </c>
      <c r="M130" s="22">
        <v>92</v>
      </c>
      <c r="N130" s="22">
        <v>92</v>
      </c>
      <c r="O130" s="22">
        <v>95</v>
      </c>
      <c r="R130" s="22" t="s">
        <v>427</v>
      </c>
      <c r="S130" s="22">
        <v>93.4</v>
      </c>
      <c r="T130" s="22">
        <v>95</v>
      </c>
      <c r="U130" s="22">
        <v>90</v>
      </c>
      <c r="V130" s="22">
        <v>95</v>
      </c>
      <c r="W130" s="22">
        <v>88</v>
      </c>
      <c r="Z130" s="22" t="s">
        <v>427</v>
      </c>
      <c r="AA130" s="22">
        <v>90.8</v>
      </c>
      <c r="AB130" s="22">
        <v>92</v>
      </c>
      <c r="AC130" s="22">
        <v>85</v>
      </c>
      <c r="AD130" s="22">
        <v>95</v>
      </c>
      <c r="AE130" s="22">
        <v>90</v>
      </c>
      <c r="AH130" s="22" t="s">
        <v>427</v>
      </c>
      <c r="AI130" s="22">
        <v>91.8</v>
      </c>
      <c r="AJ130" s="22">
        <v>92</v>
      </c>
      <c r="AK130" s="22">
        <v>90</v>
      </c>
      <c r="AL130" s="22">
        <v>95</v>
      </c>
      <c r="AM130" s="22">
        <v>90</v>
      </c>
    </row>
    <row r="131" spans="1:39">
      <c r="A131" s="22" t="s">
        <v>428</v>
      </c>
      <c r="B131" s="22">
        <v>59.2</v>
      </c>
      <c r="C131" s="22">
        <v>52</v>
      </c>
      <c r="D131" s="22">
        <v>58</v>
      </c>
      <c r="E131" s="22">
        <v>90</v>
      </c>
      <c r="F131" s="22">
        <v>70</v>
      </c>
      <c r="G131" s="35"/>
      <c r="H131">
        <f t="shared" si="5"/>
        <v>0</v>
      </c>
      <c r="I131">
        <f t="shared" si="6"/>
        <v>0</v>
      </c>
      <c r="J131" s="22" t="s">
        <v>428</v>
      </c>
      <c r="K131" s="22">
        <v>52.2</v>
      </c>
      <c r="L131" s="22">
        <v>40</v>
      </c>
      <c r="M131" s="22">
        <v>55</v>
      </c>
      <c r="N131" s="22">
        <v>90</v>
      </c>
      <c r="O131" s="22">
        <v>80</v>
      </c>
      <c r="R131" s="22" t="s">
        <v>428</v>
      </c>
      <c r="S131" s="22">
        <v>65.4</v>
      </c>
      <c r="T131" s="22">
        <v>60</v>
      </c>
      <c r="U131" s="22">
        <v>58</v>
      </c>
      <c r="V131" s="22">
        <v>95</v>
      </c>
      <c r="W131" s="22">
        <v>80</v>
      </c>
      <c r="Z131" s="22" t="s">
        <v>428</v>
      </c>
      <c r="AA131" s="22">
        <v>44.2</v>
      </c>
      <c r="AB131" s="22">
        <v>35</v>
      </c>
      <c r="AC131" s="22">
        <v>30</v>
      </c>
      <c r="AD131" s="22">
        <v>90</v>
      </c>
      <c r="AE131" s="22">
        <v>80</v>
      </c>
      <c r="AH131" s="22" t="s">
        <v>428</v>
      </c>
      <c r="AI131" s="22">
        <v>80.4</v>
      </c>
      <c r="AJ131" s="22">
        <v>78</v>
      </c>
      <c r="AK131" s="22">
        <v>75</v>
      </c>
      <c r="AL131" s="22">
        <v>95</v>
      </c>
      <c r="AM131" s="22">
        <v>90</v>
      </c>
    </row>
    <row r="132" spans="1:39">
      <c r="A132" s="22" t="s">
        <v>429</v>
      </c>
      <c r="B132" s="22">
        <v>85.6</v>
      </c>
      <c r="C132" s="22">
        <v>85</v>
      </c>
      <c r="D132" s="22">
        <v>80</v>
      </c>
      <c r="E132" s="22">
        <v>95</v>
      </c>
      <c r="F132" s="22">
        <v>90</v>
      </c>
      <c r="G132" s="35"/>
      <c r="H132">
        <f t="shared" si="5"/>
        <v>1</v>
      </c>
      <c r="I132">
        <f t="shared" si="6"/>
        <v>1</v>
      </c>
      <c r="J132" s="22" t="s">
        <v>429</v>
      </c>
      <c r="K132" s="22">
        <v>85.8</v>
      </c>
      <c r="L132" s="22">
        <v>85</v>
      </c>
      <c r="M132" s="22">
        <v>82</v>
      </c>
      <c r="N132" s="22">
        <v>90</v>
      </c>
      <c r="O132" s="22">
        <v>95</v>
      </c>
      <c r="R132" s="22" t="s">
        <v>429</v>
      </c>
      <c r="S132" s="22">
        <v>87.4</v>
      </c>
      <c r="T132" s="22">
        <v>88</v>
      </c>
      <c r="U132" s="22">
        <v>82</v>
      </c>
      <c r="V132" s="22">
        <v>95</v>
      </c>
      <c r="W132" s="22">
        <v>85</v>
      </c>
      <c r="Z132" s="22" t="s">
        <v>429</v>
      </c>
      <c r="AA132" s="22">
        <v>83.8</v>
      </c>
      <c r="AB132" s="22">
        <v>82</v>
      </c>
      <c r="AC132" s="22">
        <v>80</v>
      </c>
      <c r="AD132" s="22">
        <v>95</v>
      </c>
      <c r="AE132" s="22">
        <v>90</v>
      </c>
      <c r="AH132" s="22" t="s">
        <v>429</v>
      </c>
      <c r="AI132" s="22">
        <v>90.2</v>
      </c>
      <c r="AJ132" s="22">
        <v>90</v>
      </c>
      <c r="AK132" s="22">
        <v>88</v>
      </c>
      <c r="AL132" s="22">
        <v>95</v>
      </c>
      <c r="AM132" s="22">
        <v>90</v>
      </c>
    </row>
    <row r="133" spans="1:39">
      <c r="A133" s="22" t="s">
        <v>430</v>
      </c>
      <c r="B133" s="22">
        <v>86.6</v>
      </c>
      <c r="C133" s="22">
        <v>85</v>
      </c>
      <c r="D133" s="22">
        <v>85</v>
      </c>
      <c r="E133" s="22">
        <v>95</v>
      </c>
      <c r="F133" s="22">
        <v>90</v>
      </c>
      <c r="G133" s="35"/>
      <c r="H133">
        <f t="shared" si="5"/>
        <v>1</v>
      </c>
      <c r="I133">
        <f t="shared" si="6"/>
        <v>1</v>
      </c>
      <c r="J133" s="22" t="s">
        <v>430</v>
      </c>
      <c r="K133" s="22">
        <v>88.2</v>
      </c>
      <c r="L133" s="22">
        <v>88</v>
      </c>
      <c r="M133" s="22">
        <v>85</v>
      </c>
      <c r="N133" s="22">
        <v>90</v>
      </c>
      <c r="O133" s="22">
        <v>95</v>
      </c>
      <c r="R133" s="22" t="s">
        <v>430</v>
      </c>
      <c r="S133" s="22">
        <v>91</v>
      </c>
      <c r="T133" s="22">
        <v>92</v>
      </c>
      <c r="U133" s="22">
        <v>88</v>
      </c>
      <c r="V133" s="22">
        <v>95</v>
      </c>
      <c r="W133" s="22">
        <v>85</v>
      </c>
      <c r="Z133" s="22" t="s">
        <v>430</v>
      </c>
      <c r="AA133" s="22">
        <v>88.4</v>
      </c>
      <c r="AB133" s="22">
        <v>88</v>
      </c>
      <c r="AC133" s="22">
        <v>85</v>
      </c>
      <c r="AD133" s="22">
        <v>95</v>
      </c>
      <c r="AE133" s="22">
        <v>90</v>
      </c>
      <c r="AH133" s="22" t="s">
        <v>430</v>
      </c>
      <c r="AI133" s="22">
        <v>92.2</v>
      </c>
      <c r="AJ133" s="22">
        <v>92</v>
      </c>
      <c r="AK133" s="22">
        <v>92</v>
      </c>
      <c r="AL133" s="22">
        <v>95</v>
      </c>
      <c r="AM133" s="22">
        <v>90</v>
      </c>
    </row>
    <row r="134" spans="1:39">
      <c r="A134" s="22" t="s">
        <v>431</v>
      </c>
      <c r="B134" s="22">
        <v>85</v>
      </c>
      <c r="C134" s="22">
        <v>88</v>
      </c>
      <c r="D134" s="22">
        <v>82</v>
      </c>
      <c r="E134" s="22">
        <v>95</v>
      </c>
      <c r="F134" s="22">
        <v>55</v>
      </c>
      <c r="G134" s="35"/>
      <c r="H134">
        <f t="shared" si="5"/>
        <v>1</v>
      </c>
      <c r="I134">
        <f t="shared" si="6"/>
        <v>1</v>
      </c>
      <c r="J134" s="22" t="s">
        <v>431</v>
      </c>
      <c r="K134" s="22">
        <v>85</v>
      </c>
      <c r="L134" s="22">
        <v>88</v>
      </c>
      <c r="M134" s="22">
        <v>85</v>
      </c>
      <c r="N134" s="22">
        <v>90</v>
      </c>
      <c r="O134" s="22">
        <v>55</v>
      </c>
      <c r="R134" s="22" t="s">
        <v>431</v>
      </c>
      <c r="S134" s="22">
        <v>85</v>
      </c>
      <c r="T134" s="22">
        <v>88</v>
      </c>
      <c r="U134" s="22">
        <v>82</v>
      </c>
      <c r="V134" s="22">
        <v>95</v>
      </c>
      <c r="W134" s="22">
        <v>55</v>
      </c>
      <c r="Z134" s="22" t="s">
        <v>431</v>
      </c>
      <c r="AA134" s="22">
        <v>79.8</v>
      </c>
      <c r="AB134" s="22">
        <v>80</v>
      </c>
      <c r="AC134" s="22">
        <v>78</v>
      </c>
      <c r="AD134" s="22">
        <v>95</v>
      </c>
      <c r="AE134" s="22">
        <v>60</v>
      </c>
      <c r="AH134" s="22" t="s">
        <v>431</v>
      </c>
      <c r="AI134" s="22">
        <v>82</v>
      </c>
      <c r="AJ134" s="22">
        <v>82</v>
      </c>
      <c r="AK134" s="22">
        <v>85</v>
      </c>
      <c r="AL134" s="22">
        <v>95</v>
      </c>
      <c r="AM134" s="22">
        <v>55</v>
      </c>
    </row>
    <row r="135" spans="1:39">
      <c r="A135" s="22" t="s">
        <v>432</v>
      </c>
      <c r="B135" s="29">
        <v>85.6</v>
      </c>
      <c r="C135" s="29">
        <v>85</v>
      </c>
      <c r="D135" s="29">
        <v>80</v>
      </c>
      <c r="E135" s="29">
        <v>95</v>
      </c>
      <c r="F135" s="29">
        <v>90</v>
      </c>
      <c r="G135" s="36"/>
      <c r="H135">
        <f t="shared" si="5"/>
        <v>1</v>
      </c>
      <c r="I135">
        <f t="shared" si="6"/>
        <v>1</v>
      </c>
      <c r="J135" s="22" t="s">
        <v>432</v>
      </c>
      <c r="K135" s="29">
        <v>89.4</v>
      </c>
      <c r="L135" s="29">
        <v>90</v>
      </c>
      <c r="M135" s="29">
        <v>85</v>
      </c>
      <c r="N135" s="29">
        <v>90</v>
      </c>
      <c r="O135" s="29">
        <v>95</v>
      </c>
      <c r="R135" s="22" t="s">
        <v>432</v>
      </c>
      <c r="S135" s="29">
        <v>89.2</v>
      </c>
      <c r="T135" s="29">
        <v>90</v>
      </c>
      <c r="U135" s="29">
        <v>85</v>
      </c>
      <c r="V135" s="29">
        <v>95</v>
      </c>
      <c r="W135" s="29">
        <v>85</v>
      </c>
      <c r="Z135" s="22" t="s">
        <v>432</v>
      </c>
      <c r="AA135" s="29">
        <v>84.8</v>
      </c>
      <c r="AB135" s="29">
        <v>85</v>
      </c>
      <c r="AC135" s="29">
        <v>78</v>
      </c>
      <c r="AD135" s="29">
        <v>92</v>
      </c>
      <c r="AE135" s="29">
        <v>90</v>
      </c>
      <c r="AH135" s="22" t="s">
        <v>432</v>
      </c>
      <c r="AI135" s="29">
        <v>90.2</v>
      </c>
      <c r="AJ135" s="29">
        <v>90</v>
      </c>
      <c r="AK135" s="29">
        <v>88</v>
      </c>
      <c r="AL135" s="29">
        <v>95</v>
      </c>
      <c r="AM135" s="29">
        <v>90</v>
      </c>
    </row>
    <row r="136" spans="1:39">
      <c r="A136" s="22" t="s">
        <v>433</v>
      </c>
      <c r="B136" s="29">
        <v>59.2</v>
      </c>
      <c r="C136" s="29">
        <v>52</v>
      </c>
      <c r="D136" s="29">
        <v>58</v>
      </c>
      <c r="E136" s="29">
        <v>90</v>
      </c>
      <c r="F136" s="29">
        <v>70</v>
      </c>
      <c r="G136" s="36"/>
      <c r="H136">
        <f t="shared" si="5"/>
        <v>0</v>
      </c>
      <c r="I136">
        <f t="shared" si="6"/>
        <v>0</v>
      </c>
      <c r="J136" s="22" t="s">
        <v>433</v>
      </c>
      <c r="K136" s="29">
        <v>52.2</v>
      </c>
      <c r="L136" s="29">
        <v>40</v>
      </c>
      <c r="M136" s="29">
        <v>55</v>
      </c>
      <c r="N136" s="29">
        <v>90</v>
      </c>
      <c r="O136" s="29">
        <v>80</v>
      </c>
      <c r="R136" s="22" t="s">
        <v>433</v>
      </c>
      <c r="S136" s="29">
        <v>65.4</v>
      </c>
      <c r="T136" s="29">
        <v>60</v>
      </c>
      <c r="U136" s="29">
        <v>58</v>
      </c>
      <c r="V136" s="29">
        <v>95</v>
      </c>
      <c r="W136" s="29">
        <v>80</v>
      </c>
      <c r="Z136" s="22" t="s">
        <v>433</v>
      </c>
      <c r="AA136" s="29">
        <v>44.2</v>
      </c>
      <c r="AB136" s="29">
        <v>35</v>
      </c>
      <c r="AC136" s="29">
        <v>30</v>
      </c>
      <c r="AD136" s="29">
        <v>90</v>
      </c>
      <c r="AE136" s="29">
        <v>80</v>
      </c>
      <c r="AH136" s="22" t="s">
        <v>433</v>
      </c>
      <c r="AI136" s="29">
        <v>80.4</v>
      </c>
      <c r="AJ136" s="29">
        <v>78</v>
      </c>
      <c r="AK136" s="29">
        <v>75</v>
      </c>
      <c r="AL136" s="29">
        <v>95</v>
      </c>
      <c r="AM136" s="29">
        <v>90</v>
      </c>
    </row>
    <row r="137" spans="1:39">
      <c r="A137" s="22" t="s">
        <v>434</v>
      </c>
      <c r="B137" s="29">
        <v>85.2</v>
      </c>
      <c r="C137" s="29">
        <v>85</v>
      </c>
      <c r="D137" s="29">
        <v>78</v>
      </c>
      <c r="E137" s="29">
        <v>95</v>
      </c>
      <c r="F137" s="29">
        <v>90</v>
      </c>
      <c r="G137" s="36"/>
      <c r="H137">
        <f t="shared" si="5"/>
        <v>1</v>
      </c>
      <c r="I137">
        <f t="shared" si="6"/>
        <v>1</v>
      </c>
      <c r="J137" s="22" t="s">
        <v>434</v>
      </c>
      <c r="K137" s="29">
        <v>85.8</v>
      </c>
      <c r="L137" s="29">
        <v>85</v>
      </c>
      <c r="M137" s="29">
        <v>82</v>
      </c>
      <c r="N137" s="29">
        <v>90</v>
      </c>
      <c r="O137" s="29">
        <v>95</v>
      </c>
      <c r="R137" s="22" t="s">
        <v>434</v>
      </c>
      <c r="S137" s="29">
        <v>89.2</v>
      </c>
      <c r="T137" s="29">
        <v>90</v>
      </c>
      <c r="U137" s="29">
        <v>85</v>
      </c>
      <c r="V137" s="29">
        <v>95</v>
      </c>
      <c r="W137" s="29">
        <v>85</v>
      </c>
      <c r="Z137" s="22" t="s">
        <v>434</v>
      </c>
      <c r="AA137" s="29">
        <v>85.6</v>
      </c>
      <c r="AB137" s="29">
        <v>85</v>
      </c>
      <c r="AC137" s="29">
        <v>80</v>
      </c>
      <c r="AD137" s="29">
        <v>95</v>
      </c>
      <c r="AE137" s="29">
        <v>90</v>
      </c>
      <c r="AH137" s="22" t="s">
        <v>434</v>
      </c>
      <c r="AI137" s="29">
        <v>90.2</v>
      </c>
      <c r="AJ137" s="29">
        <v>90</v>
      </c>
      <c r="AK137" s="29">
        <v>88</v>
      </c>
      <c r="AL137" s="29">
        <v>95</v>
      </c>
      <c r="AM137" s="29">
        <v>90</v>
      </c>
    </row>
    <row r="138" spans="1:39">
      <c r="A138" s="22" t="s">
        <v>435</v>
      </c>
      <c r="B138" s="29">
        <v>86.6</v>
      </c>
      <c r="C138" s="29">
        <v>85</v>
      </c>
      <c r="D138" s="29">
        <v>85</v>
      </c>
      <c r="E138" s="29">
        <v>95</v>
      </c>
      <c r="F138" s="29">
        <v>90</v>
      </c>
      <c r="G138" s="36"/>
      <c r="H138">
        <f t="shared" si="5"/>
        <v>1</v>
      </c>
      <c r="I138">
        <f t="shared" si="6"/>
        <v>1</v>
      </c>
      <c r="J138" s="22" t="s">
        <v>435</v>
      </c>
      <c r="K138" s="29">
        <v>86.4</v>
      </c>
      <c r="L138" s="29">
        <v>85</v>
      </c>
      <c r="M138" s="29">
        <v>85</v>
      </c>
      <c r="N138" s="29">
        <v>90</v>
      </c>
      <c r="O138" s="29">
        <v>95</v>
      </c>
      <c r="R138" s="22" t="s">
        <v>435</v>
      </c>
      <c r="S138" s="29">
        <v>91</v>
      </c>
      <c r="T138" s="29">
        <v>92</v>
      </c>
      <c r="U138" s="29">
        <v>88</v>
      </c>
      <c r="V138" s="29">
        <v>95</v>
      </c>
      <c r="W138" s="29">
        <v>85</v>
      </c>
      <c r="Z138" s="22" t="s">
        <v>435</v>
      </c>
      <c r="AA138" s="29">
        <v>88.4</v>
      </c>
      <c r="AB138" s="29">
        <v>88</v>
      </c>
      <c r="AC138" s="29">
        <v>85</v>
      </c>
      <c r="AD138" s="29">
        <v>95</v>
      </c>
      <c r="AE138" s="29">
        <v>90</v>
      </c>
      <c r="AH138" s="22" t="s">
        <v>435</v>
      </c>
      <c r="AI138" s="29">
        <v>92.2</v>
      </c>
      <c r="AJ138" s="29">
        <v>92</v>
      </c>
      <c r="AK138" s="29">
        <v>92</v>
      </c>
      <c r="AL138" s="29">
        <v>95</v>
      </c>
      <c r="AM138" s="29">
        <v>90</v>
      </c>
    </row>
    <row r="139" spans="1:39">
      <c r="A139" s="22" t="s">
        <v>436</v>
      </c>
      <c r="B139" s="29">
        <v>81</v>
      </c>
      <c r="C139" s="29">
        <v>82</v>
      </c>
      <c r="D139" s="29">
        <v>80</v>
      </c>
      <c r="E139" s="29">
        <v>95</v>
      </c>
      <c r="F139" s="29">
        <v>55</v>
      </c>
      <c r="G139" s="36"/>
      <c r="H139">
        <f t="shared" si="5"/>
        <v>1</v>
      </c>
      <c r="I139">
        <f t="shared" si="6"/>
        <v>1</v>
      </c>
      <c r="J139" s="22" t="s">
        <v>436</v>
      </c>
      <c r="K139" s="29">
        <v>82.6</v>
      </c>
      <c r="L139" s="29">
        <v>85</v>
      </c>
      <c r="M139" s="29">
        <v>82</v>
      </c>
      <c r="N139" s="29">
        <v>90</v>
      </c>
      <c r="O139" s="29">
        <v>55</v>
      </c>
      <c r="R139" s="22" t="s">
        <v>436</v>
      </c>
      <c r="S139" s="29">
        <v>83.8</v>
      </c>
      <c r="T139" s="29">
        <v>86</v>
      </c>
      <c r="U139" s="29">
        <v>82</v>
      </c>
      <c r="V139" s="29">
        <v>95</v>
      </c>
      <c r="W139" s="29">
        <v>55</v>
      </c>
      <c r="Z139" s="22" t="s">
        <v>436</v>
      </c>
      <c r="AA139" s="29">
        <v>79.8</v>
      </c>
      <c r="AB139" s="29">
        <v>80</v>
      </c>
      <c r="AC139" s="29">
        <v>78</v>
      </c>
      <c r="AD139" s="29">
        <v>95</v>
      </c>
      <c r="AE139" s="29">
        <v>60</v>
      </c>
      <c r="AH139" s="22" t="s">
        <v>436</v>
      </c>
      <c r="AI139" s="29">
        <v>79.6</v>
      </c>
      <c r="AJ139" s="29">
        <v>78</v>
      </c>
      <c r="AK139" s="29">
        <v>85</v>
      </c>
      <c r="AL139" s="29">
        <v>95</v>
      </c>
      <c r="AM139" s="29">
        <v>55</v>
      </c>
    </row>
    <row r="143" spans="1:39">
      <c r="A143" t="s">
        <v>440</v>
      </c>
      <c r="B143" s="37">
        <f>(1-SUM(H104:H139)/36)</f>
        <v>0.0555555555555556</v>
      </c>
    </row>
    <row r="144" spans="1:39">
      <c r="A144" t="s">
        <v>441</v>
      </c>
      <c r="B144" s="37">
        <f>(1-SUM(I104:I139)/36)</f>
        <v>0.0555555555555556</v>
      </c>
    </row>
  </sheetData>
  <mergeCells count="10">
    <mergeCell ref="A56:F56"/>
    <mergeCell ref="J56:O56"/>
    <mergeCell ref="R56:W56"/>
    <mergeCell ref="Z56:AE56"/>
    <mergeCell ref="AH56:AM56"/>
    <mergeCell ref="A102:F102"/>
    <mergeCell ref="J102:O102"/>
    <mergeCell ref="R102:W102"/>
    <mergeCell ref="Z102:AE102"/>
    <mergeCell ref="AH102:AM10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8"/>
  <sheetViews>
    <sheetView zoomScale="160" zoomScaleNormal="160" topLeftCell="A2" workbookViewId="0">
      <selection activeCell="E4" sqref="E4"/>
    </sheetView>
  </sheetViews>
  <sheetFormatPr defaultColWidth="9" defaultRowHeight="13.5"/>
  <cols>
    <col min="1" max="1" width="30.9583333333333" customWidth="1"/>
    <col min="2" max="2" width="17.4" customWidth="1"/>
    <col min="3" max="3" width="16.25" customWidth="1"/>
    <col min="4" max="4" width="15.1833333333333" customWidth="1"/>
    <col min="8" max="8" width="25.2083333333333" customWidth="1"/>
    <col min="9" max="9" width="17.3916666666667" customWidth="1"/>
    <col min="10" max="10" width="16.7333333333333" customWidth="1"/>
    <col min="11" max="14" width="12.625"/>
    <col min="15" max="15" width="12.625" style="10"/>
    <col min="17" max="17" width="8.15" customWidth="1"/>
  </cols>
  <sheetData>
    <row r="1" ht="15" spans="1:30">
      <c r="A1" s="11" t="s">
        <v>442</v>
      </c>
    </row>
    <row r="4" s="17" customFormat="1" ht="67.5" spans="1:30">
      <c r="A4" s="18" t="s">
        <v>443</v>
      </c>
      <c r="B4" s="18" t="s">
        <v>334</v>
      </c>
      <c r="C4" s="18" t="s">
        <v>338</v>
      </c>
      <c r="D4" s="18" t="s">
        <v>339</v>
      </c>
      <c r="H4" s="18" t="s">
        <v>86</v>
      </c>
      <c r="I4" s="18" t="s">
        <v>444</v>
      </c>
      <c r="J4" s="18" t="s">
        <v>445</v>
      </c>
      <c r="K4" s="18" t="s">
        <v>446</v>
      </c>
      <c r="L4" s="18" t="s">
        <v>447</v>
      </c>
      <c r="M4" s="18" t="s">
        <v>448</v>
      </c>
      <c r="N4" s="18" t="s">
        <v>449</v>
      </c>
      <c r="O4" s="19" t="s">
        <v>92</v>
      </c>
      <c r="Q4" s="17" t="s">
        <v>450</v>
      </c>
      <c r="R4" s="17" t="s">
        <v>451</v>
      </c>
      <c r="T4" s="17" t="s">
        <v>452</v>
      </c>
      <c r="U4" s="17" t="s">
        <v>453</v>
      </c>
      <c r="W4" s="17" t="s">
        <v>454</v>
      </c>
      <c r="X4" s="17" t="s">
        <v>455</v>
      </c>
      <c r="Z4" s="17" t="s">
        <v>456</v>
      </c>
      <c r="AA4" s="17" t="s">
        <v>457</v>
      </c>
      <c r="AC4" s="17" t="s">
        <v>458</v>
      </c>
      <c r="AD4" s="17" t="s">
        <v>459</v>
      </c>
    </row>
    <row r="5" spans="1:30">
      <c r="A5" t="s">
        <v>444</v>
      </c>
      <c r="B5" s="13">
        <f>AVERAGE(B13:B48)</f>
        <v>58.2611111111111</v>
      </c>
      <c r="C5" s="13">
        <f>AVERAGE(F13:F48)</f>
        <v>87.875</v>
      </c>
      <c r="D5" s="13">
        <f t="shared" ref="D5:D10" si="0">C5-B5</f>
        <v>29.6138888888889</v>
      </c>
      <c r="H5" t="s">
        <v>96</v>
      </c>
      <c r="I5" s="20">
        <v>43.6</v>
      </c>
      <c r="J5" s="20">
        <v>46.6</v>
      </c>
      <c r="K5" s="20">
        <v>50.6</v>
      </c>
      <c r="L5" s="20">
        <v>39.1</v>
      </c>
      <c r="M5" s="20">
        <v>26.6</v>
      </c>
      <c r="N5" s="20">
        <v>33.2</v>
      </c>
      <c r="O5" s="21">
        <f>AVERAGE(I5:N5)</f>
        <v>39.95</v>
      </c>
      <c r="Q5">
        <v>43.6</v>
      </c>
      <c r="R5">
        <v>50.6</v>
      </c>
      <c r="T5">
        <v>39.1</v>
      </c>
      <c r="U5">
        <v>33.2</v>
      </c>
      <c r="W5">
        <v>43.6</v>
      </c>
      <c r="X5">
        <v>46.6</v>
      </c>
      <c r="Z5">
        <v>39.1</v>
      </c>
      <c r="AA5">
        <v>26.6</v>
      </c>
      <c r="AC5">
        <v>43.6</v>
      </c>
      <c r="AD5">
        <v>39.1</v>
      </c>
    </row>
    <row r="6" spans="1:30">
      <c r="A6" t="s">
        <v>445</v>
      </c>
      <c r="B6" s="13">
        <f>AVERAGE(B50:B85)</f>
        <v>58.5611111111111</v>
      </c>
      <c r="C6" s="13">
        <f>AVERAGE(F50:F85)</f>
        <v>87.7916666666667</v>
      </c>
      <c r="D6" s="13">
        <f t="shared" si="0"/>
        <v>29.2305555555556</v>
      </c>
      <c r="H6" t="s">
        <v>97</v>
      </c>
      <c r="I6" s="20">
        <v>56.8</v>
      </c>
      <c r="J6" s="20">
        <v>32.6</v>
      </c>
      <c r="K6" s="20">
        <v>62.6</v>
      </c>
      <c r="L6" s="20">
        <v>30</v>
      </c>
      <c r="M6" s="20">
        <v>30.2</v>
      </c>
      <c r="N6" s="20">
        <v>37</v>
      </c>
      <c r="O6" s="21">
        <f t="shared" ref="O6:O37" si="1">AVERAGE(I6:N6)</f>
        <v>41.5333333333333</v>
      </c>
      <c r="Q6">
        <v>56.8</v>
      </c>
      <c r="R6">
        <v>62.6</v>
      </c>
      <c r="T6">
        <v>30</v>
      </c>
      <c r="U6">
        <v>37</v>
      </c>
      <c r="W6">
        <v>56.8</v>
      </c>
      <c r="X6">
        <v>32.6</v>
      </c>
      <c r="Z6">
        <v>30</v>
      </c>
      <c r="AA6">
        <v>30.2</v>
      </c>
      <c r="AC6">
        <v>56.8</v>
      </c>
      <c r="AD6">
        <v>30</v>
      </c>
    </row>
    <row r="7" spans="1:30">
      <c r="A7" t="s">
        <v>446</v>
      </c>
      <c r="B7" s="13">
        <f>AVERAGE(B87:B122)</f>
        <v>58.9388888888889</v>
      </c>
      <c r="C7" s="13">
        <f>AVERAGE(F87:F122)</f>
        <v>88.15</v>
      </c>
      <c r="D7" s="13">
        <f t="shared" si="0"/>
        <v>29.2111111111111</v>
      </c>
      <c r="H7" t="s">
        <v>98</v>
      </c>
      <c r="I7" s="20">
        <v>82.4</v>
      </c>
      <c r="J7" s="20">
        <v>83</v>
      </c>
      <c r="K7" s="20">
        <v>76.6</v>
      </c>
      <c r="L7" s="20">
        <v>69.4</v>
      </c>
      <c r="M7" s="20">
        <v>72.4</v>
      </c>
      <c r="N7" s="20">
        <v>67.8</v>
      </c>
      <c r="O7" s="21">
        <f t="shared" si="1"/>
        <v>75.2666666666667</v>
      </c>
      <c r="Q7">
        <v>82.4</v>
      </c>
      <c r="R7">
        <v>76.6</v>
      </c>
      <c r="T7">
        <v>69.4</v>
      </c>
      <c r="U7">
        <v>67.8</v>
      </c>
      <c r="W7">
        <v>82.4</v>
      </c>
      <c r="X7">
        <v>83</v>
      </c>
      <c r="Z7">
        <v>69.4</v>
      </c>
      <c r="AA7">
        <v>72.4</v>
      </c>
      <c r="AC7">
        <v>82.4</v>
      </c>
      <c r="AD7">
        <v>69.4</v>
      </c>
    </row>
    <row r="8" spans="1:30">
      <c r="A8" t="s">
        <v>447</v>
      </c>
      <c r="B8" s="13">
        <f>AVERAGE(B124:B159)</f>
        <v>48.4777777777778</v>
      </c>
      <c r="C8" s="13">
        <f>AVERAGE(F124:F159)</f>
        <v>80.8833333333333</v>
      </c>
      <c r="D8" s="13">
        <f t="shared" si="0"/>
        <v>32.4055555555555</v>
      </c>
      <c r="H8" t="s">
        <v>99</v>
      </c>
      <c r="I8" s="20">
        <v>83.8</v>
      </c>
      <c r="J8" s="20">
        <v>82.2</v>
      </c>
      <c r="K8" s="20">
        <v>78.7</v>
      </c>
      <c r="L8" s="20">
        <v>74.8</v>
      </c>
      <c r="M8" s="20">
        <v>75.8</v>
      </c>
      <c r="N8" s="20">
        <v>71.6</v>
      </c>
      <c r="O8" s="21">
        <f t="shared" si="1"/>
        <v>77.8166666666667</v>
      </c>
      <c r="Q8">
        <v>83.8</v>
      </c>
      <c r="R8">
        <v>78.7</v>
      </c>
      <c r="T8">
        <v>74.8</v>
      </c>
      <c r="U8">
        <v>71.6</v>
      </c>
      <c r="W8">
        <v>83.8</v>
      </c>
      <c r="X8">
        <v>82.2</v>
      </c>
      <c r="Z8">
        <v>74.8</v>
      </c>
      <c r="AA8">
        <v>75.8</v>
      </c>
      <c r="AC8">
        <v>83.8</v>
      </c>
      <c r="AD8">
        <v>74.8</v>
      </c>
    </row>
    <row r="9" spans="1:30">
      <c r="A9" t="s">
        <v>448</v>
      </c>
      <c r="B9" s="13">
        <f>AVERAGE(B161:B196)</f>
        <v>46.1583333333333</v>
      </c>
      <c r="C9" s="13">
        <f>AVERAGE(F161:F196)</f>
        <v>79.5305555555556</v>
      </c>
      <c r="D9" s="13">
        <f t="shared" si="0"/>
        <v>33.3722222222223</v>
      </c>
      <c r="H9" t="s">
        <v>100</v>
      </c>
      <c r="I9" s="20">
        <v>75</v>
      </c>
      <c r="J9" s="20">
        <v>81.8</v>
      </c>
      <c r="K9" s="20">
        <v>75.7</v>
      </c>
      <c r="L9" s="20">
        <v>78.2</v>
      </c>
      <c r="M9" s="20">
        <v>71.2</v>
      </c>
      <c r="N9" s="20">
        <v>38.2</v>
      </c>
      <c r="O9" s="21">
        <f t="shared" si="1"/>
        <v>70.0166666666667</v>
      </c>
      <c r="Q9">
        <v>75</v>
      </c>
      <c r="R9">
        <v>75.7</v>
      </c>
      <c r="T9">
        <v>78.2</v>
      </c>
      <c r="U9">
        <v>38.2</v>
      </c>
      <c r="W9">
        <v>75</v>
      </c>
      <c r="X9">
        <v>81.8</v>
      </c>
      <c r="Z9">
        <v>78.2</v>
      </c>
      <c r="AA9">
        <v>71.2</v>
      </c>
      <c r="AC9">
        <v>75</v>
      </c>
      <c r="AD9">
        <v>78.2</v>
      </c>
    </row>
    <row r="10" spans="1:30">
      <c r="A10" t="s">
        <v>449</v>
      </c>
      <c r="B10" s="13">
        <f>AVERAGE(B198:B233)</f>
        <v>46.125</v>
      </c>
      <c r="C10" s="13">
        <f>AVERAGE(F198:F233)</f>
        <v>78.8694444444444</v>
      </c>
      <c r="D10" s="13">
        <f t="shared" si="0"/>
        <v>32.7444444444444</v>
      </c>
      <c r="H10" t="s">
        <v>101</v>
      </c>
      <c r="I10" s="20">
        <v>74.4</v>
      </c>
      <c r="J10" s="20">
        <v>65.8</v>
      </c>
      <c r="K10" s="20">
        <v>80.4</v>
      </c>
      <c r="L10" s="20">
        <v>62.5</v>
      </c>
      <c r="M10" s="20">
        <v>35.8</v>
      </c>
      <c r="N10" s="20">
        <v>65</v>
      </c>
      <c r="O10" s="21">
        <f t="shared" si="1"/>
        <v>63.9833333333333</v>
      </c>
      <c r="Q10">
        <v>74.4</v>
      </c>
      <c r="R10">
        <v>80.4</v>
      </c>
      <c r="T10">
        <v>62.5</v>
      </c>
      <c r="U10">
        <v>65</v>
      </c>
      <c r="W10">
        <v>74.4</v>
      </c>
      <c r="X10">
        <v>65.8</v>
      </c>
      <c r="Z10">
        <v>62.5</v>
      </c>
      <c r="AA10">
        <v>35.8</v>
      </c>
      <c r="AC10">
        <v>74.4</v>
      </c>
      <c r="AD10">
        <v>62.5</v>
      </c>
    </row>
    <row r="11" spans="1:30">
      <c r="H11" t="s">
        <v>102</v>
      </c>
      <c r="I11" s="20">
        <v>77.6</v>
      </c>
      <c r="J11" s="20">
        <v>80</v>
      </c>
      <c r="K11" s="20">
        <v>72.6</v>
      </c>
      <c r="L11" s="20">
        <v>50.5</v>
      </c>
      <c r="M11" s="20">
        <v>60.8</v>
      </c>
      <c r="N11" s="20">
        <v>74.6</v>
      </c>
      <c r="O11" s="21">
        <f t="shared" si="1"/>
        <v>69.35</v>
      </c>
      <c r="Q11">
        <v>77.6</v>
      </c>
      <c r="R11">
        <v>72.6</v>
      </c>
      <c r="T11">
        <v>50.5</v>
      </c>
      <c r="U11">
        <v>74.6</v>
      </c>
      <c r="W11">
        <v>77.6</v>
      </c>
      <c r="X11">
        <v>80</v>
      </c>
      <c r="Z11">
        <v>50.5</v>
      </c>
      <c r="AA11">
        <v>60.8</v>
      </c>
      <c r="AC11">
        <v>77.6</v>
      </c>
      <c r="AD11">
        <v>50.5</v>
      </c>
    </row>
    <row r="12" spans="1:30">
      <c r="A12" s="2" t="s">
        <v>444</v>
      </c>
      <c r="B12" s="2" t="s">
        <v>346</v>
      </c>
      <c r="C12" s="2" t="s">
        <v>347</v>
      </c>
      <c r="D12" s="2" t="s">
        <v>348</v>
      </c>
      <c r="E12" s="2" t="s">
        <v>349</v>
      </c>
      <c r="F12" s="2" t="s">
        <v>350</v>
      </c>
      <c r="H12" t="s">
        <v>103</v>
      </c>
      <c r="I12" s="20">
        <v>76.2</v>
      </c>
      <c r="J12" s="20">
        <v>81</v>
      </c>
      <c r="K12" s="20">
        <v>71</v>
      </c>
      <c r="L12" s="20">
        <v>72</v>
      </c>
      <c r="M12" s="20">
        <v>50.8</v>
      </c>
      <c r="N12" s="20">
        <v>64.1</v>
      </c>
      <c r="O12" s="21">
        <f t="shared" si="1"/>
        <v>69.1833333333333</v>
      </c>
      <c r="Q12">
        <v>76.2</v>
      </c>
      <c r="R12">
        <v>71</v>
      </c>
      <c r="T12">
        <v>72</v>
      </c>
      <c r="U12">
        <v>64.1</v>
      </c>
      <c r="W12">
        <v>76.2</v>
      </c>
      <c r="X12">
        <v>81</v>
      </c>
      <c r="Z12">
        <v>72</v>
      </c>
      <c r="AA12">
        <v>50.8</v>
      </c>
      <c r="AC12">
        <v>76.2</v>
      </c>
      <c r="AD12">
        <v>72</v>
      </c>
    </row>
    <row r="13" spans="1:30">
      <c r="A13" t="s">
        <v>20</v>
      </c>
      <c r="B13">
        <v>43.6</v>
      </c>
      <c r="C13">
        <v>85.7</v>
      </c>
      <c r="D13">
        <v>94</v>
      </c>
      <c r="E13">
        <v>67</v>
      </c>
      <c r="F13">
        <v>90.2</v>
      </c>
      <c r="H13" t="s">
        <v>104</v>
      </c>
      <c r="I13" s="20">
        <v>71.8</v>
      </c>
      <c r="J13" s="20">
        <v>66.4</v>
      </c>
      <c r="K13" s="20">
        <v>75.8</v>
      </c>
      <c r="L13" s="20">
        <v>71.2</v>
      </c>
      <c r="M13" s="20">
        <v>62.8</v>
      </c>
      <c r="N13" s="20">
        <v>65.3</v>
      </c>
      <c r="O13" s="21">
        <f t="shared" si="1"/>
        <v>68.8833333333333</v>
      </c>
      <c r="Q13">
        <v>71.8</v>
      </c>
      <c r="R13">
        <v>75.8</v>
      </c>
      <c r="T13">
        <v>71.2</v>
      </c>
      <c r="U13">
        <v>65.3</v>
      </c>
      <c r="W13">
        <v>71.8</v>
      </c>
      <c r="X13">
        <v>66.4</v>
      </c>
      <c r="Z13">
        <v>71.2</v>
      </c>
      <c r="AA13">
        <v>62.8</v>
      </c>
      <c r="AC13">
        <v>71.8</v>
      </c>
      <c r="AD13">
        <v>71.2</v>
      </c>
    </row>
    <row r="14" spans="1:30">
      <c r="A14" t="s">
        <v>21</v>
      </c>
      <c r="B14">
        <v>56.8</v>
      </c>
      <c r="C14">
        <v>82.6</v>
      </c>
      <c r="D14">
        <v>93</v>
      </c>
      <c r="E14">
        <v>81.2</v>
      </c>
      <c r="F14">
        <v>79.4</v>
      </c>
      <c r="H14" t="s">
        <v>105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1">
        <f t="shared" si="1"/>
        <v>0</v>
      </c>
      <c r="Q14">
        <v>0</v>
      </c>
      <c r="R14">
        <v>0</v>
      </c>
      <c r="T14">
        <v>0</v>
      </c>
      <c r="U14">
        <v>0</v>
      </c>
      <c r="W14">
        <v>0</v>
      </c>
      <c r="X14">
        <v>0</v>
      </c>
      <c r="Z14">
        <v>0</v>
      </c>
      <c r="AA14">
        <v>0</v>
      </c>
      <c r="AC14">
        <v>0</v>
      </c>
      <c r="AD14">
        <v>0</v>
      </c>
    </row>
    <row r="15" spans="1:30">
      <c r="A15" t="s">
        <v>22</v>
      </c>
      <c r="B15">
        <v>82.4</v>
      </c>
      <c r="C15">
        <v>24.8</v>
      </c>
      <c r="D15">
        <v>79.4</v>
      </c>
      <c r="E15">
        <v>34.8</v>
      </c>
      <c r="F15">
        <v>96.6</v>
      </c>
      <c r="H15" t="s">
        <v>106</v>
      </c>
      <c r="I15" s="20">
        <v>80</v>
      </c>
      <c r="J15" s="20">
        <v>81.2</v>
      </c>
      <c r="K15" s="20">
        <v>84</v>
      </c>
      <c r="L15" s="20">
        <v>75.5</v>
      </c>
      <c r="M15" s="20">
        <v>58.6</v>
      </c>
      <c r="N15" s="20">
        <v>42.2</v>
      </c>
      <c r="O15" s="21">
        <f t="shared" si="1"/>
        <v>70.25</v>
      </c>
      <c r="Q15">
        <v>80</v>
      </c>
      <c r="R15">
        <v>84</v>
      </c>
      <c r="T15">
        <v>75.5</v>
      </c>
      <c r="U15">
        <v>42.2</v>
      </c>
      <c r="W15">
        <v>80</v>
      </c>
      <c r="X15">
        <v>81.2</v>
      </c>
      <c r="Z15">
        <v>75.5</v>
      </c>
      <c r="AA15">
        <v>58.6</v>
      </c>
      <c r="AC15">
        <v>80</v>
      </c>
      <c r="AD15">
        <v>75.5</v>
      </c>
    </row>
    <row r="16" spans="1:30">
      <c r="A16" t="s">
        <v>23</v>
      </c>
      <c r="B16">
        <v>83.8</v>
      </c>
      <c r="C16">
        <v>70.2</v>
      </c>
      <c r="D16">
        <v>32.4</v>
      </c>
      <c r="E16">
        <v>72</v>
      </c>
      <c r="F16">
        <v>78.2</v>
      </c>
      <c r="H16" t="s">
        <v>107</v>
      </c>
      <c r="I16" s="20">
        <v>72.2</v>
      </c>
      <c r="J16" s="20">
        <v>81.5</v>
      </c>
      <c r="K16" s="20">
        <v>67</v>
      </c>
      <c r="L16" s="20">
        <v>66.2</v>
      </c>
      <c r="M16" s="20">
        <v>67.5</v>
      </c>
      <c r="N16" s="20">
        <v>63.6</v>
      </c>
      <c r="O16" s="21">
        <f t="shared" si="1"/>
        <v>69.6666666666667</v>
      </c>
      <c r="Q16">
        <v>72.2</v>
      </c>
      <c r="R16">
        <v>67</v>
      </c>
      <c r="T16">
        <v>66.2</v>
      </c>
      <c r="U16">
        <v>63.6</v>
      </c>
      <c r="W16">
        <v>72.2</v>
      </c>
      <c r="X16">
        <v>81.5</v>
      </c>
      <c r="Z16">
        <v>66.2</v>
      </c>
      <c r="AA16">
        <v>67.5</v>
      </c>
      <c r="AC16">
        <v>72.2</v>
      </c>
      <c r="AD16">
        <v>66.2</v>
      </c>
    </row>
    <row r="17" spans="1:30">
      <c r="A17" t="s">
        <v>24</v>
      </c>
      <c r="B17">
        <v>75</v>
      </c>
      <c r="C17">
        <v>84.2</v>
      </c>
      <c r="D17">
        <v>93.8</v>
      </c>
      <c r="E17">
        <v>75.6</v>
      </c>
      <c r="F17">
        <v>97.2</v>
      </c>
      <c r="H17" t="s">
        <v>108</v>
      </c>
      <c r="I17" s="20">
        <v>31.8</v>
      </c>
      <c r="J17" s="20">
        <v>49.2</v>
      </c>
      <c r="K17" s="20">
        <v>55.2</v>
      </c>
      <c r="L17" s="20">
        <v>55.4</v>
      </c>
      <c r="M17" s="20">
        <v>33.2</v>
      </c>
      <c r="N17" s="20">
        <v>24.4</v>
      </c>
      <c r="O17" s="21">
        <f t="shared" si="1"/>
        <v>41.5333333333333</v>
      </c>
      <c r="Q17">
        <v>31.8</v>
      </c>
      <c r="R17">
        <v>55.2</v>
      </c>
      <c r="T17">
        <v>55.4</v>
      </c>
      <c r="U17">
        <v>24.4</v>
      </c>
      <c r="W17">
        <v>31.8</v>
      </c>
      <c r="X17">
        <v>49.2</v>
      </c>
      <c r="Z17">
        <v>55.4</v>
      </c>
      <c r="AA17">
        <v>33.2</v>
      </c>
      <c r="AC17">
        <v>31.8</v>
      </c>
      <c r="AD17">
        <v>55.4</v>
      </c>
    </row>
    <row r="18" spans="1:30">
      <c r="A18" t="s">
        <v>25</v>
      </c>
      <c r="B18">
        <v>74.4</v>
      </c>
      <c r="C18">
        <v>77.2</v>
      </c>
      <c r="D18">
        <v>89.4</v>
      </c>
      <c r="E18">
        <v>85.9</v>
      </c>
      <c r="F18">
        <v>78.6</v>
      </c>
      <c r="H18" t="s">
        <v>109</v>
      </c>
      <c r="I18" s="20">
        <v>39.6</v>
      </c>
      <c r="J18" s="20">
        <v>16.4</v>
      </c>
      <c r="K18" s="20">
        <v>71.1</v>
      </c>
      <c r="L18" s="20">
        <v>30</v>
      </c>
      <c r="M18" s="20">
        <v>44.2</v>
      </c>
      <c r="N18" s="20">
        <v>33.8</v>
      </c>
      <c r="O18" s="21">
        <f t="shared" si="1"/>
        <v>39.1833333333333</v>
      </c>
      <c r="Q18">
        <v>39.6</v>
      </c>
      <c r="R18">
        <v>71.1</v>
      </c>
      <c r="T18">
        <v>30</v>
      </c>
      <c r="U18">
        <v>33.8</v>
      </c>
      <c r="W18">
        <v>39.6</v>
      </c>
      <c r="X18">
        <v>16.4</v>
      </c>
      <c r="Z18">
        <v>30</v>
      </c>
      <c r="AA18">
        <v>44.2</v>
      </c>
      <c r="AC18">
        <v>39.6</v>
      </c>
      <c r="AD18">
        <v>30</v>
      </c>
    </row>
    <row r="19" spans="1:30">
      <c r="A19" t="s">
        <v>26</v>
      </c>
      <c r="B19">
        <v>77.6</v>
      </c>
      <c r="C19">
        <v>77.7</v>
      </c>
      <c r="D19">
        <v>91.4</v>
      </c>
      <c r="E19">
        <v>77.6</v>
      </c>
      <c r="F19">
        <v>88.8</v>
      </c>
      <c r="H19" t="s">
        <v>110</v>
      </c>
      <c r="I19" s="20">
        <v>71</v>
      </c>
      <c r="J19" s="20">
        <v>75.8</v>
      </c>
      <c r="K19" s="20">
        <v>76.6</v>
      </c>
      <c r="L19" s="20">
        <v>61.6</v>
      </c>
      <c r="M19" s="20">
        <v>46</v>
      </c>
      <c r="N19" s="20">
        <v>58.6</v>
      </c>
      <c r="O19" s="21">
        <f t="shared" si="1"/>
        <v>64.9333333333333</v>
      </c>
      <c r="Q19">
        <v>71</v>
      </c>
      <c r="R19">
        <v>76.6</v>
      </c>
      <c r="T19">
        <v>61.6</v>
      </c>
      <c r="U19">
        <v>58.6</v>
      </c>
      <c r="W19">
        <v>71</v>
      </c>
      <c r="X19">
        <v>75.8</v>
      </c>
      <c r="Z19">
        <v>61.6</v>
      </c>
      <c r="AA19">
        <v>46</v>
      </c>
      <c r="AC19">
        <v>71</v>
      </c>
      <c r="AD19">
        <v>61.6</v>
      </c>
    </row>
    <row r="20" spans="1:30">
      <c r="A20" t="s">
        <v>27</v>
      </c>
      <c r="B20">
        <v>76.2</v>
      </c>
      <c r="C20">
        <v>81.5</v>
      </c>
      <c r="D20">
        <v>92.4</v>
      </c>
      <c r="E20">
        <v>70.2</v>
      </c>
      <c r="F20">
        <v>90</v>
      </c>
      <c r="H20" t="s">
        <v>111</v>
      </c>
      <c r="I20" s="20">
        <v>37.4</v>
      </c>
      <c r="J20" s="20">
        <v>28.4</v>
      </c>
      <c r="K20" s="20">
        <v>33</v>
      </c>
      <c r="L20" s="20">
        <v>21</v>
      </c>
      <c r="M20" s="20">
        <v>30.4</v>
      </c>
      <c r="N20" s="20">
        <v>23</v>
      </c>
      <c r="O20" s="21">
        <f t="shared" si="1"/>
        <v>28.8666666666667</v>
      </c>
      <c r="Q20">
        <v>37.4</v>
      </c>
      <c r="R20">
        <v>33</v>
      </c>
      <c r="T20">
        <v>21</v>
      </c>
      <c r="U20">
        <v>23</v>
      </c>
      <c r="W20">
        <v>37.4</v>
      </c>
      <c r="X20">
        <v>28.4</v>
      </c>
      <c r="Z20">
        <v>21</v>
      </c>
      <c r="AA20">
        <v>30.4</v>
      </c>
      <c r="AC20">
        <v>37.4</v>
      </c>
      <c r="AD20">
        <v>21</v>
      </c>
    </row>
    <row r="21" spans="1:30">
      <c r="A21" t="s">
        <v>28</v>
      </c>
      <c r="B21">
        <v>71.8</v>
      </c>
      <c r="C21">
        <v>87.2</v>
      </c>
      <c r="D21">
        <v>97</v>
      </c>
      <c r="E21">
        <v>81</v>
      </c>
      <c r="F21">
        <v>95.2</v>
      </c>
      <c r="H21" t="s">
        <v>112</v>
      </c>
      <c r="I21" s="20">
        <v>71.6</v>
      </c>
      <c r="J21" s="20">
        <v>75.3</v>
      </c>
      <c r="K21" s="20">
        <v>67.6</v>
      </c>
      <c r="L21" s="20">
        <v>51</v>
      </c>
      <c r="M21" s="20">
        <v>61.6</v>
      </c>
      <c r="N21" s="20">
        <v>68.5</v>
      </c>
      <c r="O21" s="21">
        <f t="shared" si="1"/>
        <v>65.9333333333333</v>
      </c>
      <c r="Q21">
        <v>71.6</v>
      </c>
      <c r="R21">
        <v>67.6</v>
      </c>
      <c r="T21">
        <v>51</v>
      </c>
      <c r="U21">
        <v>68.5</v>
      </c>
      <c r="W21">
        <v>71.6</v>
      </c>
      <c r="X21">
        <v>75.3</v>
      </c>
      <c r="Z21">
        <v>51</v>
      </c>
      <c r="AA21">
        <v>61.6</v>
      </c>
      <c r="AC21">
        <v>71.6</v>
      </c>
      <c r="AD21">
        <v>51</v>
      </c>
    </row>
    <row r="22" spans="1:30">
      <c r="A22" t="s">
        <v>29</v>
      </c>
      <c r="B22">
        <v>0</v>
      </c>
      <c r="C22">
        <v>81.6</v>
      </c>
      <c r="D22">
        <v>59</v>
      </c>
      <c r="E22">
        <v>23.6</v>
      </c>
      <c r="F22">
        <v>95.4</v>
      </c>
      <c r="H22" t="s">
        <v>113</v>
      </c>
      <c r="I22" s="20">
        <v>74.2</v>
      </c>
      <c r="J22" s="20">
        <v>71.6</v>
      </c>
      <c r="K22" s="20">
        <v>71.8</v>
      </c>
      <c r="L22" s="20">
        <v>56.4</v>
      </c>
      <c r="M22" s="20">
        <v>57.6</v>
      </c>
      <c r="N22" s="20">
        <v>60.4</v>
      </c>
      <c r="O22" s="21">
        <f t="shared" si="1"/>
        <v>65.3333333333333</v>
      </c>
      <c r="Q22">
        <v>74.2</v>
      </c>
      <c r="R22">
        <v>71.8</v>
      </c>
      <c r="T22">
        <v>56.4</v>
      </c>
      <c r="U22">
        <v>60.4</v>
      </c>
      <c r="W22">
        <v>74.2</v>
      </c>
      <c r="X22">
        <v>71.6</v>
      </c>
      <c r="Z22">
        <v>56.4</v>
      </c>
      <c r="AA22">
        <v>57.6</v>
      </c>
      <c r="AC22">
        <v>74.2</v>
      </c>
      <c r="AD22">
        <v>56.4</v>
      </c>
    </row>
    <row r="23" spans="1:30">
      <c r="A23" t="s">
        <v>30</v>
      </c>
      <c r="B23">
        <v>80</v>
      </c>
      <c r="C23">
        <v>92.2</v>
      </c>
      <c r="D23">
        <v>97.4</v>
      </c>
      <c r="E23">
        <v>78.8</v>
      </c>
      <c r="F23">
        <v>78.6</v>
      </c>
      <c r="H23" t="s">
        <v>114</v>
      </c>
      <c r="I23" s="20">
        <v>81.2</v>
      </c>
      <c r="J23" s="20">
        <v>78.8</v>
      </c>
      <c r="K23" s="20">
        <v>83.8</v>
      </c>
      <c r="L23" s="20">
        <v>81.4</v>
      </c>
      <c r="M23" s="20">
        <v>68</v>
      </c>
      <c r="N23" s="20">
        <v>76.2</v>
      </c>
      <c r="O23" s="21">
        <f t="shared" si="1"/>
        <v>78.2333333333333</v>
      </c>
      <c r="Q23">
        <v>81.2</v>
      </c>
      <c r="R23">
        <v>83.8</v>
      </c>
      <c r="T23">
        <v>81.4</v>
      </c>
      <c r="U23">
        <v>76.2</v>
      </c>
      <c r="W23">
        <v>81.2</v>
      </c>
      <c r="X23">
        <v>78.8</v>
      </c>
      <c r="Z23">
        <v>81.4</v>
      </c>
      <c r="AA23">
        <v>68</v>
      </c>
      <c r="AC23">
        <v>81.2</v>
      </c>
      <c r="AD23">
        <v>81.4</v>
      </c>
    </row>
    <row r="24" spans="1:30">
      <c r="A24" t="s">
        <v>31</v>
      </c>
      <c r="B24">
        <v>72.2</v>
      </c>
      <c r="C24">
        <v>74.8</v>
      </c>
      <c r="D24">
        <v>96</v>
      </c>
      <c r="E24">
        <v>74.7</v>
      </c>
      <c r="F24">
        <v>93.2</v>
      </c>
      <c r="H24" t="s">
        <v>115</v>
      </c>
      <c r="I24" s="20">
        <v>16.4</v>
      </c>
      <c r="J24" s="20">
        <v>23.6</v>
      </c>
      <c r="K24" s="20">
        <v>36.9</v>
      </c>
      <c r="L24" s="20">
        <v>0</v>
      </c>
      <c r="M24" s="20">
        <v>8.6</v>
      </c>
      <c r="N24" s="20">
        <v>0</v>
      </c>
      <c r="O24" s="21">
        <f t="shared" si="1"/>
        <v>14.25</v>
      </c>
      <c r="Q24">
        <v>16.4</v>
      </c>
      <c r="R24">
        <v>36.9</v>
      </c>
      <c r="T24">
        <v>0</v>
      </c>
      <c r="U24">
        <v>0</v>
      </c>
      <c r="W24">
        <v>16.4</v>
      </c>
      <c r="X24">
        <v>23.6</v>
      </c>
      <c r="Z24">
        <v>0</v>
      </c>
      <c r="AA24">
        <v>8.6</v>
      </c>
      <c r="AC24">
        <v>16.4</v>
      </c>
      <c r="AD24">
        <v>0</v>
      </c>
    </row>
    <row r="25" spans="1:30">
      <c r="A25" t="s">
        <v>32</v>
      </c>
      <c r="B25">
        <v>31.8</v>
      </c>
      <c r="C25">
        <v>81.2</v>
      </c>
      <c r="D25">
        <v>96</v>
      </c>
      <c r="E25">
        <v>66.6</v>
      </c>
      <c r="F25">
        <v>99.6</v>
      </c>
      <c r="H25" t="s">
        <v>116</v>
      </c>
      <c r="I25" s="20">
        <v>60</v>
      </c>
      <c r="J25" s="20">
        <v>40.8</v>
      </c>
      <c r="K25" s="20">
        <v>26.4</v>
      </c>
      <c r="L25" s="20">
        <v>20.8</v>
      </c>
      <c r="M25" s="20">
        <v>35</v>
      </c>
      <c r="N25" s="20">
        <v>26</v>
      </c>
      <c r="O25" s="21">
        <f t="shared" si="1"/>
        <v>34.8333333333333</v>
      </c>
      <c r="Q25">
        <v>60</v>
      </c>
      <c r="R25">
        <v>26.4</v>
      </c>
      <c r="T25">
        <v>20.8</v>
      </c>
      <c r="U25">
        <v>26</v>
      </c>
      <c r="W25">
        <v>60</v>
      </c>
      <c r="X25">
        <v>40.8</v>
      </c>
      <c r="Z25">
        <v>20.8</v>
      </c>
      <c r="AA25">
        <v>35</v>
      </c>
      <c r="AC25">
        <v>60</v>
      </c>
      <c r="AD25">
        <v>20.8</v>
      </c>
    </row>
    <row r="26" spans="1:30">
      <c r="A26" t="s">
        <v>33</v>
      </c>
      <c r="B26">
        <v>39.6</v>
      </c>
      <c r="C26">
        <v>77.4</v>
      </c>
      <c r="D26">
        <v>92.2</v>
      </c>
      <c r="E26">
        <v>70</v>
      </c>
      <c r="F26">
        <v>95.2</v>
      </c>
      <c r="H26" t="s">
        <v>117</v>
      </c>
      <c r="I26" s="20">
        <v>86</v>
      </c>
      <c r="J26" s="20">
        <v>82.4</v>
      </c>
      <c r="K26" s="20">
        <v>76.2</v>
      </c>
      <c r="L26" s="20">
        <v>85.4</v>
      </c>
      <c r="M26" s="20">
        <v>75.8</v>
      </c>
      <c r="N26" s="20">
        <v>66.8</v>
      </c>
      <c r="O26" s="21">
        <f t="shared" si="1"/>
        <v>78.7666666666667</v>
      </c>
      <c r="Q26">
        <v>86</v>
      </c>
      <c r="R26">
        <v>76.2</v>
      </c>
      <c r="T26">
        <v>85.4</v>
      </c>
      <c r="U26">
        <v>66.8</v>
      </c>
      <c r="W26">
        <v>86</v>
      </c>
      <c r="X26">
        <v>82.4</v>
      </c>
      <c r="Z26">
        <v>85.4</v>
      </c>
      <c r="AA26">
        <v>75.8</v>
      </c>
      <c r="AC26">
        <v>86</v>
      </c>
      <c r="AD26">
        <v>85.4</v>
      </c>
    </row>
    <row r="27" spans="1:30">
      <c r="A27" t="s">
        <v>34</v>
      </c>
      <c r="B27">
        <v>71</v>
      </c>
      <c r="C27">
        <v>80.8</v>
      </c>
      <c r="D27">
        <v>84.4</v>
      </c>
      <c r="E27">
        <v>66</v>
      </c>
      <c r="F27">
        <v>90.2</v>
      </c>
      <c r="H27" t="s">
        <v>118</v>
      </c>
      <c r="I27" s="20">
        <v>77.6</v>
      </c>
      <c r="J27" s="20">
        <v>76.4</v>
      </c>
      <c r="K27" s="20">
        <v>79.8</v>
      </c>
      <c r="L27" s="20">
        <v>61</v>
      </c>
      <c r="M27" s="20">
        <v>70.8</v>
      </c>
      <c r="N27" s="20">
        <v>79</v>
      </c>
      <c r="O27" s="21">
        <f t="shared" si="1"/>
        <v>74.1</v>
      </c>
      <c r="Q27">
        <v>77.6</v>
      </c>
      <c r="R27">
        <v>79.8</v>
      </c>
      <c r="T27">
        <v>61</v>
      </c>
      <c r="U27">
        <v>79</v>
      </c>
      <c r="W27">
        <v>77.6</v>
      </c>
      <c r="X27">
        <v>76.4</v>
      </c>
      <c r="Z27">
        <v>61</v>
      </c>
      <c r="AA27">
        <v>70.8</v>
      </c>
      <c r="AC27">
        <v>77.6</v>
      </c>
      <c r="AD27">
        <v>61</v>
      </c>
    </row>
    <row r="28" spans="1:30">
      <c r="A28" t="s">
        <v>35</v>
      </c>
      <c r="B28">
        <v>37.4</v>
      </c>
      <c r="C28">
        <v>35.6</v>
      </c>
      <c r="D28">
        <v>89.4</v>
      </c>
      <c r="E28">
        <v>67.4</v>
      </c>
      <c r="F28">
        <v>85.8</v>
      </c>
      <c r="H28" t="s">
        <v>119</v>
      </c>
      <c r="I28" s="20">
        <v>48.2</v>
      </c>
      <c r="J28" s="20">
        <v>73.8</v>
      </c>
      <c r="K28" s="20">
        <v>56.8</v>
      </c>
      <c r="L28" s="20">
        <v>41.4</v>
      </c>
      <c r="M28" s="20">
        <v>25.8</v>
      </c>
      <c r="N28" s="20">
        <v>64.2</v>
      </c>
      <c r="O28" s="21">
        <f t="shared" si="1"/>
        <v>51.7</v>
      </c>
      <c r="Q28">
        <v>48.2</v>
      </c>
      <c r="R28">
        <v>56.8</v>
      </c>
      <c r="T28">
        <v>41.4</v>
      </c>
      <c r="U28">
        <v>64.2</v>
      </c>
      <c r="W28">
        <v>48.2</v>
      </c>
      <c r="X28">
        <v>73.8</v>
      </c>
      <c r="Z28">
        <v>41.4</v>
      </c>
      <c r="AA28">
        <v>25.8</v>
      </c>
      <c r="AC28">
        <v>48.2</v>
      </c>
      <c r="AD28">
        <v>41.4</v>
      </c>
    </row>
    <row r="29" spans="1:30">
      <c r="A29" t="s">
        <v>36</v>
      </c>
      <c r="B29">
        <v>71.6</v>
      </c>
      <c r="C29">
        <v>74.2</v>
      </c>
      <c r="D29">
        <v>88.8</v>
      </c>
      <c r="E29">
        <v>39.2</v>
      </c>
      <c r="F29">
        <v>92.6</v>
      </c>
      <c r="H29" t="s">
        <v>120</v>
      </c>
      <c r="I29" s="20">
        <v>81.3</v>
      </c>
      <c r="J29" s="20">
        <v>87.4</v>
      </c>
      <c r="K29" s="20">
        <v>79.2</v>
      </c>
      <c r="L29" s="20">
        <v>47</v>
      </c>
      <c r="M29" s="20">
        <v>42.2</v>
      </c>
      <c r="N29" s="20">
        <v>77.5</v>
      </c>
      <c r="O29" s="21">
        <f t="shared" si="1"/>
        <v>69.1</v>
      </c>
      <c r="Q29">
        <v>81.3</v>
      </c>
      <c r="R29">
        <v>79.2</v>
      </c>
      <c r="T29">
        <v>47</v>
      </c>
      <c r="U29">
        <v>77.5</v>
      </c>
      <c r="W29">
        <v>81.3</v>
      </c>
      <c r="X29">
        <v>87.4</v>
      </c>
      <c r="Z29">
        <v>47</v>
      </c>
      <c r="AA29">
        <v>42.2</v>
      </c>
      <c r="AC29">
        <v>81.3</v>
      </c>
      <c r="AD29">
        <v>47</v>
      </c>
    </row>
    <row r="30" spans="1:30">
      <c r="A30" t="s">
        <v>37</v>
      </c>
      <c r="B30">
        <v>74.2</v>
      </c>
      <c r="C30">
        <v>87.2</v>
      </c>
      <c r="D30">
        <v>96.4</v>
      </c>
      <c r="E30">
        <v>77</v>
      </c>
      <c r="F30">
        <v>94.2</v>
      </c>
      <c r="H30" t="s">
        <v>121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1">
        <f t="shared" si="1"/>
        <v>0</v>
      </c>
      <c r="Q30">
        <v>0</v>
      </c>
      <c r="R30">
        <v>0</v>
      </c>
      <c r="T30">
        <v>0</v>
      </c>
      <c r="U30">
        <v>0</v>
      </c>
      <c r="W30">
        <v>0</v>
      </c>
      <c r="X30">
        <v>0</v>
      </c>
      <c r="Z30">
        <v>0</v>
      </c>
      <c r="AA30">
        <v>0</v>
      </c>
      <c r="AC30">
        <v>0</v>
      </c>
      <c r="AD30">
        <v>0</v>
      </c>
    </row>
    <row r="31" spans="1:30">
      <c r="A31" t="s">
        <v>38</v>
      </c>
      <c r="B31">
        <v>81.2</v>
      </c>
      <c r="C31">
        <v>89.4</v>
      </c>
      <c r="D31">
        <v>99</v>
      </c>
      <c r="E31">
        <v>78.1</v>
      </c>
      <c r="F31">
        <v>93.2</v>
      </c>
      <c r="H31" t="s">
        <v>122</v>
      </c>
      <c r="I31" s="20">
        <v>25.2</v>
      </c>
      <c r="J31" s="20">
        <v>34.8</v>
      </c>
      <c r="K31" s="20">
        <v>27.6</v>
      </c>
      <c r="L31" s="20">
        <v>20.8</v>
      </c>
      <c r="M31" s="20">
        <v>11.6</v>
      </c>
      <c r="N31" s="20">
        <v>2.4</v>
      </c>
      <c r="O31" s="21">
        <f t="shared" si="1"/>
        <v>20.4</v>
      </c>
      <c r="Q31">
        <v>25.2</v>
      </c>
      <c r="R31">
        <v>27.6</v>
      </c>
      <c r="T31">
        <v>20.8</v>
      </c>
      <c r="U31">
        <v>2.4</v>
      </c>
      <c r="W31">
        <v>25.2</v>
      </c>
      <c r="X31">
        <v>34.8</v>
      </c>
      <c r="Z31">
        <v>20.8</v>
      </c>
      <c r="AA31">
        <v>11.6</v>
      </c>
      <c r="AC31">
        <v>25.2</v>
      </c>
      <c r="AD31">
        <v>20.8</v>
      </c>
    </row>
    <row r="32" spans="1:30">
      <c r="A32" t="s">
        <v>39</v>
      </c>
      <c r="B32">
        <v>16.4</v>
      </c>
      <c r="C32">
        <v>27.4</v>
      </c>
      <c r="D32">
        <v>96.8</v>
      </c>
      <c r="E32">
        <v>79</v>
      </c>
      <c r="F32">
        <v>92.3</v>
      </c>
      <c r="H32" t="s">
        <v>123</v>
      </c>
      <c r="I32" s="20">
        <v>20.4</v>
      </c>
      <c r="J32" s="20">
        <v>27.8</v>
      </c>
      <c r="K32" s="20">
        <v>25.4</v>
      </c>
      <c r="L32" s="20">
        <v>6.6</v>
      </c>
      <c r="M32" s="20">
        <v>23.2</v>
      </c>
      <c r="N32" s="20">
        <v>19</v>
      </c>
      <c r="O32" s="21">
        <f t="shared" si="1"/>
        <v>20.4</v>
      </c>
      <c r="Q32">
        <v>20.4</v>
      </c>
      <c r="R32">
        <v>25.4</v>
      </c>
      <c r="T32">
        <v>6.6</v>
      </c>
      <c r="U32">
        <v>19</v>
      </c>
      <c r="W32">
        <v>20.4</v>
      </c>
      <c r="X32">
        <v>27.8</v>
      </c>
      <c r="Z32">
        <v>6.6</v>
      </c>
      <c r="AA32">
        <v>23.2</v>
      </c>
      <c r="AC32">
        <v>20.4</v>
      </c>
      <c r="AD32">
        <v>6.6</v>
      </c>
    </row>
    <row r="33" spans="1:30">
      <c r="A33" t="s">
        <v>40</v>
      </c>
      <c r="B33">
        <v>60</v>
      </c>
      <c r="C33">
        <v>79.8</v>
      </c>
      <c r="D33">
        <v>95.4</v>
      </c>
      <c r="E33">
        <v>79.6</v>
      </c>
      <c r="F33">
        <v>31.6</v>
      </c>
      <c r="H33" t="s">
        <v>124</v>
      </c>
      <c r="I33" s="20">
        <v>64.6</v>
      </c>
      <c r="J33" s="20">
        <v>66</v>
      </c>
      <c r="K33" s="20">
        <v>49.4</v>
      </c>
      <c r="L33" s="20">
        <v>70.4</v>
      </c>
      <c r="M33" s="20">
        <v>61.6</v>
      </c>
      <c r="N33" s="20">
        <v>50.8</v>
      </c>
      <c r="O33" s="21">
        <f t="shared" si="1"/>
        <v>60.4666666666667</v>
      </c>
      <c r="Q33">
        <v>64.6</v>
      </c>
      <c r="R33">
        <v>49.4</v>
      </c>
      <c r="T33">
        <v>70.4</v>
      </c>
      <c r="U33">
        <v>50.8</v>
      </c>
      <c r="W33">
        <v>64.6</v>
      </c>
      <c r="X33">
        <v>66</v>
      </c>
      <c r="Z33">
        <v>70.4</v>
      </c>
      <c r="AA33">
        <v>61.6</v>
      </c>
      <c r="AC33">
        <v>64.6</v>
      </c>
      <c r="AD33">
        <v>70.4</v>
      </c>
    </row>
    <row r="34" spans="1:30">
      <c r="A34" t="s">
        <v>41</v>
      </c>
      <c r="B34">
        <v>86</v>
      </c>
      <c r="C34">
        <v>53.4</v>
      </c>
      <c r="D34">
        <v>35.6</v>
      </c>
      <c r="E34">
        <v>49.4</v>
      </c>
      <c r="F34">
        <v>88.6</v>
      </c>
      <c r="H34" t="s">
        <v>125</v>
      </c>
      <c r="I34" s="20">
        <v>72.6</v>
      </c>
      <c r="J34" s="20">
        <v>52</v>
      </c>
      <c r="K34" s="20">
        <v>69</v>
      </c>
      <c r="L34" s="20">
        <v>48.8</v>
      </c>
      <c r="M34" s="20">
        <v>47.2</v>
      </c>
      <c r="N34" s="20">
        <v>42.5</v>
      </c>
      <c r="O34" s="21">
        <f t="shared" si="1"/>
        <v>55.35</v>
      </c>
      <c r="Q34">
        <v>72.6</v>
      </c>
      <c r="R34">
        <v>69</v>
      </c>
      <c r="T34">
        <v>48.8</v>
      </c>
      <c r="U34">
        <v>42.5</v>
      </c>
      <c r="W34">
        <v>72.6</v>
      </c>
      <c r="X34">
        <v>52</v>
      </c>
      <c r="Z34">
        <v>48.8</v>
      </c>
      <c r="AA34">
        <v>47.2</v>
      </c>
      <c r="AC34">
        <v>72.6</v>
      </c>
      <c r="AD34">
        <v>48.8</v>
      </c>
    </row>
    <row r="35" spans="1:30">
      <c r="A35" t="s">
        <v>42</v>
      </c>
      <c r="B35">
        <v>77.6</v>
      </c>
      <c r="C35">
        <v>74</v>
      </c>
      <c r="D35">
        <v>98</v>
      </c>
      <c r="E35">
        <v>68</v>
      </c>
      <c r="F35">
        <v>80.8</v>
      </c>
      <c r="H35" t="s">
        <v>126</v>
      </c>
      <c r="I35" s="20">
        <v>84.2</v>
      </c>
      <c r="J35" s="20">
        <v>76</v>
      </c>
      <c r="K35" s="20">
        <v>74.4</v>
      </c>
      <c r="L35" s="20">
        <v>62.6</v>
      </c>
      <c r="M35" s="20">
        <v>74</v>
      </c>
      <c r="N35" s="20">
        <v>48.2</v>
      </c>
      <c r="O35" s="21">
        <f t="shared" si="1"/>
        <v>69.9</v>
      </c>
      <c r="Q35">
        <v>84.2</v>
      </c>
      <c r="R35">
        <v>74.4</v>
      </c>
      <c r="T35">
        <v>62.6</v>
      </c>
      <c r="U35">
        <v>48.2</v>
      </c>
      <c r="W35">
        <v>84.2</v>
      </c>
      <c r="X35">
        <v>76</v>
      </c>
      <c r="Z35">
        <v>62.6</v>
      </c>
      <c r="AA35">
        <v>74</v>
      </c>
      <c r="AC35">
        <v>84.2</v>
      </c>
      <c r="AD35">
        <v>62.6</v>
      </c>
    </row>
    <row r="36" spans="1:30">
      <c r="A36" t="s">
        <v>43</v>
      </c>
      <c r="B36">
        <v>48.2</v>
      </c>
      <c r="C36">
        <v>12.6</v>
      </c>
      <c r="D36">
        <v>50.4</v>
      </c>
      <c r="E36">
        <v>70.8</v>
      </c>
      <c r="F36">
        <v>96.6</v>
      </c>
      <c r="H36" t="s">
        <v>127</v>
      </c>
      <c r="I36" s="20">
        <v>82.2</v>
      </c>
      <c r="J36" s="20">
        <v>81.2</v>
      </c>
      <c r="K36" s="20">
        <v>84.6</v>
      </c>
      <c r="L36" s="20">
        <v>75.6</v>
      </c>
      <c r="M36" s="20">
        <v>68.2</v>
      </c>
      <c r="N36" s="20">
        <v>65.3</v>
      </c>
      <c r="O36" s="21">
        <f t="shared" si="1"/>
        <v>76.1833333333333</v>
      </c>
      <c r="Q36">
        <v>82.2</v>
      </c>
      <c r="R36">
        <v>84.6</v>
      </c>
      <c r="T36">
        <v>75.6</v>
      </c>
      <c r="U36">
        <v>65.3</v>
      </c>
      <c r="W36">
        <v>82.2</v>
      </c>
      <c r="X36">
        <v>81.2</v>
      </c>
      <c r="Z36">
        <v>75.6</v>
      </c>
      <c r="AA36">
        <v>68.2</v>
      </c>
      <c r="AC36">
        <v>82.2</v>
      </c>
      <c r="AD36">
        <v>75.6</v>
      </c>
    </row>
    <row r="37" spans="1:30">
      <c r="A37" t="s">
        <v>44</v>
      </c>
      <c r="B37">
        <v>81.3</v>
      </c>
      <c r="C37">
        <v>88.4</v>
      </c>
      <c r="D37">
        <v>94.2</v>
      </c>
      <c r="E37">
        <v>71.8</v>
      </c>
      <c r="F37">
        <v>85.8</v>
      </c>
      <c r="H37" t="s">
        <v>128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1">
        <f t="shared" si="1"/>
        <v>0</v>
      </c>
      <c r="Q37">
        <v>0</v>
      </c>
      <c r="R37">
        <v>0</v>
      </c>
      <c r="T37">
        <v>0</v>
      </c>
      <c r="U37">
        <v>0</v>
      </c>
      <c r="W37">
        <v>0</v>
      </c>
      <c r="X37">
        <v>0</v>
      </c>
      <c r="Z37">
        <v>0</v>
      </c>
      <c r="AA37">
        <v>0</v>
      </c>
      <c r="AC37">
        <v>0</v>
      </c>
      <c r="AD37">
        <v>0</v>
      </c>
    </row>
    <row r="38" spans="1:30">
      <c r="A38" t="s">
        <v>46</v>
      </c>
      <c r="B38">
        <v>0</v>
      </c>
      <c r="C38">
        <v>5.8</v>
      </c>
      <c r="D38">
        <v>74</v>
      </c>
      <c r="E38">
        <v>81.8</v>
      </c>
      <c r="F38">
        <v>90</v>
      </c>
      <c r="H38" t="s">
        <v>129</v>
      </c>
      <c r="I38" s="20">
        <v>16.8</v>
      </c>
      <c r="J38" s="20">
        <v>36.4</v>
      </c>
      <c r="K38" s="20">
        <v>25.6</v>
      </c>
      <c r="L38" s="20">
        <v>28.4</v>
      </c>
      <c r="M38" s="20">
        <v>18.2</v>
      </c>
      <c r="N38" s="20">
        <v>13.2</v>
      </c>
      <c r="O38" s="21">
        <f t="shared" ref="O38:O69" si="2">AVERAGE(I38:N38)</f>
        <v>23.1</v>
      </c>
      <c r="Q38">
        <v>16.8</v>
      </c>
      <c r="R38">
        <v>25.6</v>
      </c>
      <c r="T38">
        <v>28.4</v>
      </c>
      <c r="U38">
        <v>13.2</v>
      </c>
      <c r="W38">
        <v>16.8</v>
      </c>
      <c r="X38">
        <v>36.4</v>
      </c>
      <c r="Z38">
        <v>28.4</v>
      </c>
      <c r="AA38">
        <v>18.2</v>
      </c>
      <c r="AC38">
        <v>16.8</v>
      </c>
      <c r="AD38">
        <v>28.4</v>
      </c>
    </row>
    <row r="39" spans="1:30">
      <c r="A39" t="s">
        <v>45</v>
      </c>
      <c r="B39">
        <v>25.2</v>
      </c>
      <c r="C39">
        <v>64.8</v>
      </c>
      <c r="D39">
        <v>93.2</v>
      </c>
      <c r="E39">
        <v>77</v>
      </c>
      <c r="F39">
        <v>80.6</v>
      </c>
      <c r="H39" t="s">
        <v>130</v>
      </c>
      <c r="I39" s="20">
        <v>83.1</v>
      </c>
      <c r="J39" s="20">
        <v>89.4</v>
      </c>
      <c r="K39" s="20">
        <v>77.4</v>
      </c>
      <c r="L39" s="20">
        <v>66.4</v>
      </c>
      <c r="M39" s="20">
        <v>72</v>
      </c>
      <c r="N39" s="20">
        <v>67.1</v>
      </c>
      <c r="O39" s="21">
        <f t="shared" si="2"/>
        <v>75.9</v>
      </c>
      <c r="Q39">
        <v>83.1</v>
      </c>
      <c r="R39">
        <v>77.4</v>
      </c>
      <c r="T39">
        <v>66.4</v>
      </c>
      <c r="U39">
        <v>67.1</v>
      </c>
      <c r="W39">
        <v>83.1</v>
      </c>
      <c r="X39">
        <v>89.4</v>
      </c>
      <c r="Z39">
        <v>66.4</v>
      </c>
      <c r="AA39">
        <v>72</v>
      </c>
      <c r="AC39">
        <v>83.1</v>
      </c>
      <c r="AD39">
        <v>66.4</v>
      </c>
    </row>
    <row r="40" spans="1:30">
      <c r="A40" t="s">
        <v>47</v>
      </c>
      <c r="B40">
        <v>20.4</v>
      </c>
      <c r="C40">
        <v>19.2</v>
      </c>
      <c r="D40">
        <v>95.2</v>
      </c>
      <c r="E40">
        <v>71</v>
      </c>
      <c r="F40">
        <v>96</v>
      </c>
      <c r="H40" t="s">
        <v>131</v>
      </c>
      <c r="I40" s="20">
        <v>78.2</v>
      </c>
      <c r="J40" s="20">
        <v>82.6</v>
      </c>
      <c r="K40" s="20">
        <v>79</v>
      </c>
      <c r="L40" s="20">
        <v>63.8</v>
      </c>
      <c r="M40" s="20">
        <v>74</v>
      </c>
      <c r="N40" s="20">
        <v>71</v>
      </c>
      <c r="O40" s="21">
        <f t="shared" si="2"/>
        <v>74.7666666666667</v>
      </c>
      <c r="Q40">
        <v>78.2</v>
      </c>
      <c r="R40">
        <v>79</v>
      </c>
      <c r="T40">
        <v>63.8</v>
      </c>
      <c r="U40">
        <v>71</v>
      </c>
      <c r="W40">
        <v>78.2</v>
      </c>
      <c r="X40">
        <v>82.6</v>
      </c>
      <c r="Z40">
        <v>63.8</v>
      </c>
      <c r="AA40">
        <v>74</v>
      </c>
      <c r="AC40">
        <v>78.2</v>
      </c>
      <c r="AD40">
        <v>63.8</v>
      </c>
    </row>
    <row r="41" spans="1:30">
      <c r="A41" t="s">
        <v>48</v>
      </c>
      <c r="B41">
        <v>64.6</v>
      </c>
      <c r="C41">
        <v>87.4</v>
      </c>
      <c r="D41">
        <v>93.4</v>
      </c>
      <c r="E41">
        <v>61.4</v>
      </c>
      <c r="F41">
        <v>91.2</v>
      </c>
      <c r="H41" t="s">
        <v>132</v>
      </c>
      <c r="I41" s="20">
        <v>85.7</v>
      </c>
      <c r="J41" s="20">
        <v>80.9</v>
      </c>
      <c r="K41" s="20">
        <v>88.1</v>
      </c>
      <c r="L41" s="20">
        <v>79.6</v>
      </c>
      <c r="M41" s="20">
        <v>75</v>
      </c>
      <c r="N41" s="20">
        <v>76.4</v>
      </c>
      <c r="O41" s="21">
        <f t="shared" si="2"/>
        <v>80.95</v>
      </c>
      <c r="Q41">
        <v>85.7</v>
      </c>
      <c r="R41">
        <v>88.1</v>
      </c>
      <c r="T41">
        <v>79.6</v>
      </c>
      <c r="U41">
        <v>76.4</v>
      </c>
      <c r="W41">
        <v>85.7</v>
      </c>
      <c r="X41">
        <v>80.9</v>
      </c>
      <c r="Z41">
        <v>79.6</v>
      </c>
      <c r="AA41">
        <v>75</v>
      </c>
      <c r="AC41">
        <v>85.7</v>
      </c>
      <c r="AD41">
        <v>79.6</v>
      </c>
    </row>
    <row r="42" spans="1:30">
      <c r="A42" t="s">
        <v>49</v>
      </c>
      <c r="B42">
        <v>72.6</v>
      </c>
      <c r="C42">
        <v>56</v>
      </c>
      <c r="D42">
        <v>95</v>
      </c>
      <c r="E42">
        <v>65.9</v>
      </c>
      <c r="F42">
        <v>78.2</v>
      </c>
      <c r="H42" t="s">
        <v>133</v>
      </c>
      <c r="I42" s="20">
        <v>82.6</v>
      </c>
      <c r="J42" s="20">
        <v>86</v>
      </c>
      <c r="K42" s="20">
        <v>80.8</v>
      </c>
      <c r="L42" s="20">
        <v>73</v>
      </c>
      <c r="M42" s="20">
        <v>62.2</v>
      </c>
      <c r="N42" s="20">
        <v>73.5</v>
      </c>
      <c r="O42" s="21">
        <f t="shared" si="2"/>
        <v>76.35</v>
      </c>
      <c r="Q42">
        <v>82.6</v>
      </c>
      <c r="R42">
        <v>80.8</v>
      </c>
      <c r="T42">
        <v>73</v>
      </c>
      <c r="U42">
        <v>73.5</v>
      </c>
      <c r="W42">
        <v>82.6</v>
      </c>
      <c r="X42">
        <v>86</v>
      </c>
      <c r="Z42">
        <v>73</v>
      </c>
      <c r="AA42">
        <v>62.2</v>
      </c>
      <c r="AC42">
        <v>82.6</v>
      </c>
      <c r="AD42">
        <v>73</v>
      </c>
    </row>
    <row r="43" spans="1:30">
      <c r="A43" t="s">
        <v>50</v>
      </c>
      <c r="B43">
        <v>84.2</v>
      </c>
      <c r="C43">
        <v>87.9</v>
      </c>
      <c r="D43">
        <v>94.4</v>
      </c>
      <c r="E43">
        <v>85.9</v>
      </c>
      <c r="F43">
        <v>97.2</v>
      </c>
      <c r="H43" t="s">
        <v>134</v>
      </c>
      <c r="I43" s="20">
        <v>24.8</v>
      </c>
      <c r="J43" s="20">
        <v>27.2</v>
      </c>
      <c r="K43" s="20">
        <v>27.8</v>
      </c>
      <c r="L43" s="20">
        <v>39.2</v>
      </c>
      <c r="M43" s="20">
        <v>52</v>
      </c>
      <c r="N43" s="20">
        <v>3.4</v>
      </c>
      <c r="O43" s="21">
        <f t="shared" si="2"/>
        <v>29.0666666666667</v>
      </c>
      <c r="Q43">
        <v>24.8</v>
      </c>
      <c r="R43">
        <v>27.8</v>
      </c>
      <c r="T43">
        <v>39.2</v>
      </c>
      <c r="U43">
        <v>3.4</v>
      </c>
      <c r="W43">
        <v>24.8</v>
      </c>
      <c r="X43">
        <v>27.2</v>
      </c>
      <c r="Z43">
        <v>39.2</v>
      </c>
      <c r="AA43">
        <v>52</v>
      </c>
      <c r="AC43">
        <v>24.8</v>
      </c>
      <c r="AD43">
        <v>39.2</v>
      </c>
    </row>
    <row r="44" spans="1:30">
      <c r="A44" t="s">
        <v>51</v>
      </c>
      <c r="B44">
        <v>82.2</v>
      </c>
      <c r="C44">
        <v>61.6</v>
      </c>
      <c r="D44">
        <v>98.4</v>
      </c>
      <c r="E44">
        <v>78.6</v>
      </c>
      <c r="F44">
        <v>82.6</v>
      </c>
      <c r="H44" t="s">
        <v>135</v>
      </c>
      <c r="I44" s="20">
        <v>70.2</v>
      </c>
      <c r="J44" s="20">
        <v>71.2</v>
      </c>
      <c r="K44" s="20">
        <v>70.6</v>
      </c>
      <c r="L44" s="20">
        <v>42.5</v>
      </c>
      <c r="M44" s="20">
        <v>47</v>
      </c>
      <c r="N44" s="20">
        <v>51.2</v>
      </c>
      <c r="O44" s="21">
        <f t="shared" si="2"/>
        <v>58.7833333333333</v>
      </c>
      <c r="Q44">
        <v>70.2</v>
      </c>
      <c r="R44">
        <v>70.6</v>
      </c>
      <c r="T44">
        <v>42.5</v>
      </c>
      <c r="U44">
        <v>51.2</v>
      </c>
      <c r="W44">
        <v>70.2</v>
      </c>
      <c r="X44">
        <v>71.2</v>
      </c>
      <c r="Z44">
        <v>42.5</v>
      </c>
      <c r="AA44">
        <v>47</v>
      </c>
      <c r="AC44">
        <v>70.2</v>
      </c>
      <c r="AD44">
        <v>42.5</v>
      </c>
    </row>
    <row r="45" spans="1:30">
      <c r="A45" t="s">
        <v>54</v>
      </c>
      <c r="B45">
        <v>0</v>
      </c>
      <c r="C45">
        <v>70.2</v>
      </c>
      <c r="D45">
        <v>94.8</v>
      </c>
      <c r="E45">
        <v>77.2</v>
      </c>
      <c r="F45">
        <v>88.6</v>
      </c>
      <c r="H45" t="s">
        <v>136</v>
      </c>
      <c r="I45" s="20">
        <v>84.2</v>
      </c>
      <c r="J45" s="20">
        <v>81.2</v>
      </c>
      <c r="K45" s="20">
        <v>81.3</v>
      </c>
      <c r="L45" s="20">
        <v>76.8</v>
      </c>
      <c r="M45" s="20">
        <v>74.4</v>
      </c>
      <c r="N45" s="20">
        <v>74</v>
      </c>
      <c r="O45" s="21">
        <f t="shared" si="2"/>
        <v>78.65</v>
      </c>
      <c r="Q45">
        <v>84.2</v>
      </c>
      <c r="R45">
        <v>81.3</v>
      </c>
      <c r="T45">
        <v>76.8</v>
      </c>
      <c r="U45">
        <v>74</v>
      </c>
      <c r="W45">
        <v>84.2</v>
      </c>
      <c r="X45">
        <v>81.2</v>
      </c>
      <c r="Z45">
        <v>76.8</v>
      </c>
      <c r="AA45">
        <v>74.4</v>
      </c>
      <c r="AC45">
        <v>84.2</v>
      </c>
      <c r="AD45">
        <v>76.8</v>
      </c>
    </row>
    <row r="46" spans="1:30">
      <c r="A46" t="s">
        <v>52</v>
      </c>
      <c r="B46">
        <v>16.8</v>
      </c>
      <c r="C46">
        <v>83.6</v>
      </c>
      <c r="D46">
        <v>89.4</v>
      </c>
      <c r="E46">
        <v>51.8</v>
      </c>
      <c r="F46">
        <v>95.2</v>
      </c>
      <c r="H46" t="s">
        <v>137</v>
      </c>
      <c r="I46" s="20">
        <v>77.2</v>
      </c>
      <c r="J46" s="20">
        <v>81.5</v>
      </c>
      <c r="K46" s="20">
        <v>80.6</v>
      </c>
      <c r="L46" s="20">
        <v>74.2</v>
      </c>
      <c r="M46" s="20">
        <v>73.6</v>
      </c>
      <c r="N46" s="20">
        <v>89.5</v>
      </c>
      <c r="O46" s="21">
        <f t="shared" si="2"/>
        <v>79.4333333333333</v>
      </c>
      <c r="Q46">
        <v>77.2</v>
      </c>
      <c r="R46">
        <v>80.6</v>
      </c>
      <c r="T46">
        <v>74.2</v>
      </c>
      <c r="U46">
        <v>89.5</v>
      </c>
      <c r="W46">
        <v>77.2</v>
      </c>
      <c r="X46">
        <v>81.5</v>
      </c>
      <c r="Z46">
        <v>74.2</v>
      </c>
      <c r="AA46">
        <v>73.6</v>
      </c>
      <c r="AC46">
        <v>77.2</v>
      </c>
      <c r="AD46">
        <v>74.2</v>
      </c>
    </row>
    <row r="47" spans="1:30">
      <c r="A47" t="s">
        <v>53</v>
      </c>
      <c r="B47">
        <v>83.1</v>
      </c>
      <c r="C47">
        <v>76.8</v>
      </c>
      <c r="D47">
        <v>98</v>
      </c>
      <c r="E47">
        <v>69.6</v>
      </c>
      <c r="F47">
        <v>82.8</v>
      </c>
      <c r="H47" t="s">
        <v>138</v>
      </c>
      <c r="I47" s="20">
        <v>77.7</v>
      </c>
      <c r="J47" s="20">
        <v>78.6</v>
      </c>
      <c r="K47" s="20">
        <v>86.8</v>
      </c>
      <c r="L47" s="20">
        <v>79.4</v>
      </c>
      <c r="M47" s="20">
        <v>79.6</v>
      </c>
      <c r="N47" s="20">
        <v>81.7</v>
      </c>
      <c r="O47" s="21">
        <f t="shared" si="2"/>
        <v>80.6333333333333</v>
      </c>
      <c r="Q47">
        <v>77.7</v>
      </c>
      <c r="R47">
        <v>86.8</v>
      </c>
      <c r="T47">
        <v>79.4</v>
      </c>
      <c r="U47">
        <v>81.7</v>
      </c>
      <c r="W47">
        <v>77.7</v>
      </c>
      <c r="X47">
        <v>78.6</v>
      </c>
      <c r="Z47">
        <v>79.4</v>
      </c>
      <c r="AA47">
        <v>79.6</v>
      </c>
      <c r="AC47">
        <v>77.7</v>
      </c>
      <c r="AD47">
        <v>79.4</v>
      </c>
    </row>
    <row r="48" spans="1:30">
      <c r="A48" t="s">
        <v>55</v>
      </c>
      <c r="B48">
        <v>78.2</v>
      </c>
      <c r="C48">
        <v>65.5</v>
      </c>
      <c r="D48">
        <v>95.6</v>
      </c>
      <c r="E48">
        <v>66.9</v>
      </c>
      <c r="F48">
        <v>93.2</v>
      </c>
      <c r="H48" t="s">
        <v>139</v>
      </c>
      <c r="I48" s="20">
        <v>81.5</v>
      </c>
      <c r="J48" s="20">
        <v>80.8</v>
      </c>
      <c r="K48" s="20">
        <v>81.6</v>
      </c>
      <c r="L48" s="20">
        <v>73.4</v>
      </c>
      <c r="M48" s="20">
        <v>75.8</v>
      </c>
      <c r="N48" s="20">
        <v>71.2</v>
      </c>
      <c r="O48" s="21">
        <f t="shared" si="2"/>
        <v>77.3833333333333</v>
      </c>
      <c r="Q48">
        <v>81.5</v>
      </c>
      <c r="R48">
        <v>81.6</v>
      </c>
      <c r="T48">
        <v>73.4</v>
      </c>
      <c r="U48">
        <v>71.2</v>
      </c>
      <c r="W48">
        <v>81.5</v>
      </c>
      <c r="X48">
        <v>80.8</v>
      </c>
      <c r="Z48">
        <v>73.4</v>
      </c>
      <c r="AA48">
        <v>75.8</v>
      </c>
      <c r="AC48">
        <v>81.5</v>
      </c>
      <c r="AD48">
        <v>73.4</v>
      </c>
    </row>
    <row r="49" spans="1:30">
      <c r="A49" s="2" t="s">
        <v>445</v>
      </c>
      <c r="B49" s="2" t="s">
        <v>346</v>
      </c>
      <c r="C49" s="2" t="s">
        <v>347</v>
      </c>
      <c r="D49" s="2" t="s">
        <v>348</v>
      </c>
      <c r="E49" s="2" t="s">
        <v>349</v>
      </c>
      <c r="F49" s="2" t="s">
        <v>350</v>
      </c>
      <c r="H49" t="s">
        <v>140</v>
      </c>
      <c r="I49" s="20">
        <v>87.2</v>
      </c>
      <c r="J49" s="20">
        <v>91.2</v>
      </c>
      <c r="K49" s="20">
        <v>86.6</v>
      </c>
      <c r="L49" s="20">
        <v>76.3</v>
      </c>
      <c r="M49" s="20">
        <v>73.6</v>
      </c>
      <c r="N49" s="20">
        <v>74</v>
      </c>
      <c r="O49" s="21">
        <f t="shared" si="2"/>
        <v>81.4833333333333</v>
      </c>
      <c r="Q49">
        <v>87.2</v>
      </c>
      <c r="R49">
        <v>86.6</v>
      </c>
      <c r="T49">
        <v>76.3</v>
      </c>
      <c r="U49">
        <v>74</v>
      </c>
      <c r="W49">
        <v>87.2</v>
      </c>
      <c r="X49">
        <v>91.2</v>
      </c>
      <c r="Z49">
        <v>76.3</v>
      </c>
      <c r="AA49">
        <v>73.6</v>
      </c>
      <c r="AC49">
        <v>87.2</v>
      </c>
      <c r="AD49">
        <v>76.3</v>
      </c>
    </row>
    <row r="50" spans="1:30">
      <c r="A50" t="s">
        <v>20</v>
      </c>
      <c r="B50">
        <v>46.6</v>
      </c>
      <c r="C50">
        <v>80.9</v>
      </c>
      <c r="D50">
        <v>93</v>
      </c>
      <c r="E50">
        <v>63.2</v>
      </c>
      <c r="F50">
        <v>87.8</v>
      </c>
      <c r="H50" t="s">
        <v>141</v>
      </c>
      <c r="I50" s="20">
        <v>81.6</v>
      </c>
      <c r="J50" s="20">
        <v>74.8</v>
      </c>
      <c r="K50" s="20">
        <v>76</v>
      </c>
      <c r="L50" s="20">
        <v>62.7</v>
      </c>
      <c r="M50" s="20">
        <v>65.6</v>
      </c>
      <c r="N50" s="20">
        <v>70.2</v>
      </c>
      <c r="O50" s="21">
        <f t="shared" si="2"/>
        <v>71.8166666666666</v>
      </c>
      <c r="Q50">
        <v>81.6</v>
      </c>
      <c r="R50">
        <v>76</v>
      </c>
      <c r="T50">
        <v>62.7</v>
      </c>
      <c r="U50">
        <v>70.2</v>
      </c>
      <c r="W50">
        <v>81.6</v>
      </c>
      <c r="X50">
        <v>74.8</v>
      </c>
      <c r="Z50">
        <v>62.7</v>
      </c>
      <c r="AA50">
        <v>65.6</v>
      </c>
      <c r="AC50">
        <v>81.6</v>
      </c>
      <c r="AD50">
        <v>62.7</v>
      </c>
    </row>
    <row r="51" spans="1:30">
      <c r="A51" t="s">
        <v>21</v>
      </c>
      <c r="B51">
        <v>32.6</v>
      </c>
      <c r="C51">
        <v>86</v>
      </c>
      <c r="D51">
        <v>95</v>
      </c>
      <c r="E51">
        <v>73.6</v>
      </c>
      <c r="F51">
        <v>86.4</v>
      </c>
      <c r="H51" t="s">
        <v>142</v>
      </c>
      <c r="I51" s="20">
        <v>92.2</v>
      </c>
      <c r="J51" s="20">
        <v>88</v>
      </c>
      <c r="K51" s="20">
        <v>80.8</v>
      </c>
      <c r="L51" s="20">
        <v>71.2</v>
      </c>
      <c r="M51" s="20">
        <v>65.6</v>
      </c>
      <c r="N51" s="20">
        <v>73.4</v>
      </c>
      <c r="O51" s="21">
        <f t="shared" si="2"/>
        <v>78.5333333333333</v>
      </c>
      <c r="Q51">
        <v>92.2</v>
      </c>
      <c r="R51">
        <v>80.8</v>
      </c>
      <c r="T51">
        <v>71.2</v>
      </c>
      <c r="U51">
        <v>73.4</v>
      </c>
      <c r="W51">
        <v>92.2</v>
      </c>
      <c r="X51">
        <v>88</v>
      </c>
      <c r="Z51">
        <v>71.2</v>
      </c>
      <c r="AA51">
        <v>65.6</v>
      </c>
      <c r="AC51">
        <v>92.2</v>
      </c>
      <c r="AD51">
        <v>71.2</v>
      </c>
    </row>
    <row r="52" spans="1:30">
      <c r="A52" t="s">
        <v>22</v>
      </c>
      <c r="B52">
        <v>83</v>
      </c>
      <c r="C52">
        <v>27.2</v>
      </c>
      <c r="D52">
        <v>83.4</v>
      </c>
      <c r="E52">
        <v>33.8</v>
      </c>
      <c r="F52">
        <v>85.4</v>
      </c>
      <c r="H52" t="s">
        <v>143</v>
      </c>
      <c r="I52" s="20">
        <v>74.8</v>
      </c>
      <c r="J52" s="20">
        <v>74.6</v>
      </c>
      <c r="K52" s="20">
        <v>69.4</v>
      </c>
      <c r="L52" s="20">
        <v>63.8</v>
      </c>
      <c r="M52" s="20">
        <v>77.7</v>
      </c>
      <c r="N52" s="20">
        <v>56.8</v>
      </c>
      <c r="O52" s="21">
        <f t="shared" si="2"/>
        <v>69.5166666666667</v>
      </c>
      <c r="Q52">
        <v>74.8</v>
      </c>
      <c r="R52">
        <v>69.4</v>
      </c>
      <c r="T52">
        <v>63.8</v>
      </c>
      <c r="U52">
        <v>56.8</v>
      </c>
      <c r="W52">
        <v>74.8</v>
      </c>
      <c r="X52">
        <v>74.6</v>
      </c>
      <c r="Z52">
        <v>63.8</v>
      </c>
      <c r="AA52">
        <v>77.7</v>
      </c>
      <c r="AC52">
        <v>74.8</v>
      </c>
      <c r="AD52">
        <v>63.8</v>
      </c>
    </row>
    <row r="53" spans="1:30">
      <c r="A53" t="s">
        <v>23</v>
      </c>
      <c r="B53">
        <v>82.2</v>
      </c>
      <c r="C53">
        <v>71.2</v>
      </c>
      <c r="D53">
        <v>31.6</v>
      </c>
      <c r="E53">
        <v>78.8</v>
      </c>
      <c r="F53">
        <v>92.2</v>
      </c>
      <c r="H53" t="s">
        <v>144</v>
      </c>
      <c r="I53" s="20">
        <v>81.2</v>
      </c>
      <c r="J53" s="20">
        <v>78.8</v>
      </c>
      <c r="K53" s="20">
        <v>75.1</v>
      </c>
      <c r="L53" s="20">
        <v>69</v>
      </c>
      <c r="M53" s="20">
        <v>63</v>
      </c>
      <c r="N53" s="20">
        <v>53.8</v>
      </c>
      <c r="O53" s="21">
        <f t="shared" si="2"/>
        <v>70.15</v>
      </c>
      <c r="Q53">
        <v>81.2</v>
      </c>
      <c r="R53">
        <v>75.1</v>
      </c>
      <c r="T53">
        <v>69</v>
      </c>
      <c r="U53">
        <v>53.8</v>
      </c>
      <c r="W53">
        <v>81.2</v>
      </c>
      <c r="X53">
        <v>78.8</v>
      </c>
      <c r="Z53">
        <v>69</v>
      </c>
      <c r="AA53">
        <v>63</v>
      </c>
      <c r="AC53">
        <v>81.2</v>
      </c>
      <c r="AD53">
        <v>69</v>
      </c>
    </row>
    <row r="54" spans="1:30">
      <c r="A54" t="s">
        <v>24</v>
      </c>
      <c r="B54">
        <v>81.8</v>
      </c>
      <c r="C54">
        <v>81.2</v>
      </c>
      <c r="D54">
        <v>96.4</v>
      </c>
      <c r="E54">
        <v>80.2</v>
      </c>
      <c r="F54">
        <v>85</v>
      </c>
      <c r="H54" t="s">
        <v>145</v>
      </c>
      <c r="I54" s="20">
        <v>77.4</v>
      </c>
      <c r="J54" s="20">
        <v>82.6</v>
      </c>
      <c r="K54" s="20">
        <v>76.1</v>
      </c>
      <c r="L54" s="20">
        <v>65.6</v>
      </c>
      <c r="M54" s="20">
        <v>56.6</v>
      </c>
      <c r="N54" s="20">
        <v>66</v>
      </c>
      <c r="O54" s="21">
        <f t="shared" si="2"/>
        <v>70.7166666666667</v>
      </c>
      <c r="Q54">
        <v>77.4</v>
      </c>
      <c r="R54">
        <v>76.1</v>
      </c>
      <c r="T54">
        <v>65.6</v>
      </c>
      <c r="U54">
        <v>66</v>
      </c>
      <c r="W54">
        <v>77.4</v>
      </c>
      <c r="X54">
        <v>82.6</v>
      </c>
      <c r="Z54">
        <v>65.6</v>
      </c>
      <c r="AA54">
        <v>56.6</v>
      </c>
      <c r="AC54">
        <v>77.4</v>
      </c>
      <c r="AD54">
        <v>65.6</v>
      </c>
    </row>
    <row r="55" spans="1:30">
      <c r="A55" t="s">
        <v>25</v>
      </c>
      <c r="B55">
        <v>65.8</v>
      </c>
      <c r="C55">
        <v>81.5</v>
      </c>
      <c r="D55">
        <v>94.8</v>
      </c>
      <c r="E55">
        <v>71.8</v>
      </c>
      <c r="F55">
        <v>97.2</v>
      </c>
      <c r="H55" t="s">
        <v>146</v>
      </c>
      <c r="I55" s="20">
        <v>80.8</v>
      </c>
      <c r="J55" s="20">
        <v>85.2</v>
      </c>
      <c r="K55" s="20">
        <v>83.8</v>
      </c>
      <c r="L55" s="20">
        <v>84.4</v>
      </c>
      <c r="M55" s="20">
        <v>86.8</v>
      </c>
      <c r="N55" s="20">
        <v>87.3</v>
      </c>
      <c r="O55" s="21">
        <f t="shared" si="2"/>
        <v>84.7166666666667</v>
      </c>
      <c r="Q55">
        <v>80.8</v>
      </c>
      <c r="R55">
        <v>83.8</v>
      </c>
      <c r="T55">
        <v>84.4</v>
      </c>
      <c r="U55">
        <v>87.3</v>
      </c>
      <c r="W55">
        <v>80.8</v>
      </c>
      <c r="X55">
        <v>85.2</v>
      </c>
      <c r="Z55">
        <v>84.4</v>
      </c>
      <c r="AA55">
        <v>86.8</v>
      </c>
      <c r="AC55">
        <v>80.8</v>
      </c>
      <c r="AD55">
        <v>84.4</v>
      </c>
    </row>
    <row r="56" spans="1:30">
      <c r="A56" t="s">
        <v>26</v>
      </c>
      <c r="B56">
        <v>80</v>
      </c>
      <c r="C56">
        <v>78.6</v>
      </c>
      <c r="D56">
        <v>96</v>
      </c>
      <c r="E56">
        <v>84.6</v>
      </c>
      <c r="F56">
        <v>85.6</v>
      </c>
      <c r="H56" t="s">
        <v>147</v>
      </c>
      <c r="I56" s="20">
        <v>35.6</v>
      </c>
      <c r="J56" s="20">
        <v>68.6</v>
      </c>
      <c r="K56" s="20">
        <v>29.8</v>
      </c>
      <c r="L56" s="20">
        <v>25.2</v>
      </c>
      <c r="M56" s="20">
        <v>32.6</v>
      </c>
      <c r="N56" s="20">
        <v>22</v>
      </c>
      <c r="O56" s="21">
        <f t="shared" si="2"/>
        <v>35.6333333333333</v>
      </c>
      <c r="Q56">
        <v>35.6</v>
      </c>
      <c r="R56">
        <v>29.8</v>
      </c>
      <c r="T56">
        <v>25.2</v>
      </c>
      <c r="U56">
        <v>22</v>
      </c>
      <c r="W56">
        <v>35.6</v>
      </c>
      <c r="X56">
        <v>68.6</v>
      </c>
      <c r="Z56">
        <v>25.2</v>
      </c>
      <c r="AA56">
        <v>32.6</v>
      </c>
      <c r="AC56">
        <v>35.6</v>
      </c>
      <c r="AD56">
        <v>25.2</v>
      </c>
    </row>
    <row r="57" spans="1:30">
      <c r="A57" t="s">
        <v>27</v>
      </c>
      <c r="B57">
        <v>81</v>
      </c>
      <c r="C57">
        <v>80.8</v>
      </c>
      <c r="D57">
        <v>98</v>
      </c>
      <c r="E57">
        <v>70.8</v>
      </c>
      <c r="F57">
        <v>93.8</v>
      </c>
      <c r="H57" t="s">
        <v>148</v>
      </c>
      <c r="I57" s="20">
        <v>74.2</v>
      </c>
      <c r="J57" s="20">
        <v>81.6</v>
      </c>
      <c r="K57" s="20">
        <v>68</v>
      </c>
      <c r="L57" s="20">
        <v>62.4</v>
      </c>
      <c r="M57" s="20">
        <v>72.1</v>
      </c>
      <c r="N57" s="20">
        <v>52.4</v>
      </c>
      <c r="O57" s="21">
        <f t="shared" si="2"/>
        <v>68.45</v>
      </c>
      <c r="Q57">
        <v>74.2</v>
      </c>
      <c r="R57">
        <v>68</v>
      </c>
      <c r="T57">
        <v>62.4</v>
      </c>
      <c r="U57">
        <v>52.4</v>
      </c>
      <c r="W57">
        <v>74.2</v>
      </c>
      <c r="X57">
        <v>81.6</v>
      </c>
      <c r="Z57">
        <v>62.4</v>
      </c>
      <c r="AA57">
        <v>72.1</v>
      </c>
      <c r="AC57">
        <v>74.2</v>
      </c>
      <c r="AD57">
        <v>62.4</v>
      </c>
    </row>
    <row r="58" spans="1:30">
      <c r="A58" t="s">
        <v>28</v>
      </c>
      <c r="B58">
        <v>66.4</v>
      </c>
      <c r="C58">
        <v>91.2</v>
      </c>
      <c r="D58">
        <v>93.4</v>
      </c>
      <c r="E58">
        <v>81.8</v>
      </c>
      <c r="F58">
        <v>83.2</v>
      </c>
      <c r="H58" t="s">
        <v>149</v>
      </c>
      <c r="I58" s="20">
        <v>87.2</v>
      </c>
      <c r="J58" s="20">
        <v>83.8</v>
      </c>
      <c r="K58" s="20">
        <v>85</v>
      </c>
      <c r="L58" s="20">
        <v>81.2</v>
      </c>
      <c r="M58" s="20">
        <v>69.6</v>
      </c>
      <c r="N58" s="20">
        <v>74.4</v>
      </c>
      <c r="O58" s="21">
        <f t="shared" si="2"/>
        <v>80.2</v>
      </c>
      <c r="Q58">
        <v>87.2</v>
      </c>
      <c r="R58">
        <v>85</v>
      </c>
      <c r="T58">
        <v>81.2</v>
      </c>
      <c r="U58">
        <v>74.4</v>
      </c>
      <c r="W58">
        <v>87.2</v>
      </c>
      <c r="X58">
        <v>83.8</v>
      </c>
      <c r="Z58">
        <v>81.2</v>
      </c>
      <c r="AA58">
        <v>69.6</v>
      </c>
      <c r="AC58">
        <v>87.2</v>
      </c>
      <c r="AD58">
        <v>81.2</v>
      </c>
    </row>
    <row r="59" spans="1:30">
      <c r="A59" t="s">
        <v>29</v>
      </c>
      <c r="B59">
        <v>0</v>
      </c>
      <c r="C59">
        <v>74.8</v>
      </c>
      <c r="D59">
        <v>49.1</v>
      </c>
      <c r="E59">
        <v>5.4</v>
      </c>
      <c r="F59">
        <v>93.2</v>
      </c>
      <c r="H59" t="s">
        <v>150</v>
      </c>
      <c r="I59" s="20">
        <v>89.4</v>
      </c>
      <c r="J59" s="20">
        <v>85.6</v>
      </c>
      <c r="K59" s="20">
        <v>85.4</v>
      </c>
      <c r="L59" s="20">
        <v>75.4</v>
      </c>
      <c r="M59" s="20">
        <v>87.4</v>
      </c>
      <c r="N59" s="20">
        <v>78.8</v>
      </c>
      <c r="O59" s="21">
        <f t="shared" si="2"/>
        <v>83.6666666666667</v>
      </c>
      <c r="Q59">
        <v>89.4</v>
      </c>
      <c r="R59">
        <v>85.4</v>
      </c>
      <c r="T59">
        <v>75.4</v>
      </c>
      <c r="U59">
        <v>78.8</v>
      </c>
      <c r="W59">
        <v>89.4</v>
      </c>
      <c r="X59">
        <v>85.6</v>
      </c>
      <c r="Z59">
        <v>75.4</v>
      </c>
      <c r="AA59">
        <v>87.4</v>
      </c>
      <c r="AC59">
        <v>89.4</v>
      </c>
      <c r="AD59">
        <v>75.4</v>
      </c>
    </row>
    <row r="60" spans="1:30">
      <c r="A60" t="s">
        <v>30</v>
      </c>
      <c r="B60">
        <v>81.2</v>
      </c>
      <c r="C60">
        <v>88</v>
      </c>
      <c r="D60">
        <v>97.6</v>
      </c>
      <c r="E60">
        <v>86.2</v>
      </c>
      <c r="F60">
        <v>97.2</v>
      </c>
      <c r="H60" t="s">
        <v>151</v>
      </c>
      <c r="I60" s="20">
        <v>27.4</v>
      </c>
      <c r="J60" s="20">
        <v>23.6</v>
      </c>
      <c r="K60" s="20">
        <v>15.2</v>
      </c>
      <c r="L60" s="20">
        <v>2</v>
      </c>
      <c r="M60" s="20">
        <v>24.2</v>
      </c>
      <c r="N60" s="20">
        <v>13</v>
      </c>
      <c r="O60" s="21">
        <f t="shared" si="2"/>
        <v>17.5666666666667</v>
      </c>
      <c r="Q60">
        <v>27.4</v>
      </c>
      <c r="R60">
        <v>15.2</v>
      </c>
      <c r="T60">
        <v>2</v>
      </c>
      <c r="U60">
        <v>13</v>
      </c>
      <c r="W60">
        <v>27.4</v>
      </c>
      <c r="X60">
        <v>23.6</v>
      </c>
      <c r="Z60">
        <v>2</v>
      </c>
      <c r="AA60">
        <v>24.2</v>
      </c>
      <c r="AC60">
        <v>27.4</v>
      </c>
      <c r="AD60">
        <v>2</v>
      </c>
    </row>
    <row r="61" spans="1:30">
      <c r="A61" t="s">
        <v>31</v>
      </c>
      <c r="B61">
        <v>81.5</v>
      </c>
      <c r="C61">
        <v>74.6</v>
      </c>
      <c r="D61">
        <v>98</v>
      </c>
      <c r="E61">
        <v>81.2</v>
      </c>
      <c r="F61">
        <v>83.2</v>
      </c>
      <c r="H61" t="s">
        <v>152</v>
      </c>
      <c r="I61" s="20">
        <v>79.8</v>
      </c>
      <c r="J61" s="20">
        <v>86.7</v>
      </c>
      <c r="K61" s="20">
        <v>88.6</v>
      </c>
      <c r="L61" s="20">
        <v>74</v>
      </c>
      <c r="M61" s="20">
        <v>73</v>
      </c>
      <c r="N61" s="20">
        <v>69.7</v>
      </c>
      <c r="O61" s="21">
        <f t="shared" si="2"/>
        <v>78.6333333333333</v>
      </c>
      <c r="Q61">
        <v>79.8</v>
      </c>
      <c r="R61">
        <v>88.6</v>
      </c>
      <c r="T61">
        <v>74</v>
      </c>
      <c r="U61">
        <v>69.7</v>
      </c>
      <c r="W61">
        <v>79.8</v>
      </c>
      <c r="X61">
        <v>86.7</v>
      </c>
      <c r="Z61">
        <v>74</v>
      </c>
      <c r="AA61">
        <v>73</v>
      </c>
      <c r="AC61">
        <v>79.8</v>
      </c>
      <c r="AD61">
        <v>74</v>
      </c>
    </row>
    <row r="62" spans="1:30">
      <c r="A62" t="s">
        <v>32</v>
      </c>
      <c r="B62">
        <v>49.2</v>
      </c>
      <c r="C62">
        <v>78.8</v>
      </c>
      <c r="D62">
        <v>96</v>
      </c>
      <c r="E62">
        <v>80</v>
      </c>
      <c r="F62">
        <v>90.8</v>
      </c>
      <c r="H62" t="s">
        <v>153</v>
      </c>
      <c r="I62" s="20">
        <v>53.4</v>
      </c>
      <c r="J62" s="20">
        <v>53.2</v>
      </c>
      <c r="K62" s="20">
        <v>35.4</v>
      </c>
      <c r="L62" s="20">
        <v>45.6</v>
      </c>
      <c r="M62" s="20">
        <v>26.8</v>
      </c>
      <c r="N62" s="20">
        <v>44.4</v>
      </c>
      <c r="O62" s="21">
        <f t="shared" si="2"/>
        <v>43.1333333333333</v>
      </c>
      <c r="Q62">
        <v>53.4</v>
      </c>
      <c r="R62">
        <v>35.4</v>
      </c>
      <c r="T62">
        <v>45.6</v>
      </c>
      <c r="U62">
        <v>44.4</v>
      </c>
      <c r="W62">
        <v>53.4</v>
      </c>
      <c r="X62">
        <v>53.2</v>
      </c>
      <c r="Z62">
        <v>45.6</v>
      </c>
      <c r="AA62">
        <v>26.8</v>
      </c>
      <c r="AC62">
        <v>53.4</v>
      </c>
      <c r="AD62">
        <v>45.6</v>
      </c>
    </row>
    <row r="63" spans="1:30">
      <c r="A63" t="s">
        <v>33</v>
      </c>
      <c r="B63">
        <v>16.4</v>
      </c>
      <c r="C63">
        <v>82.6</v>
      </c>
      <c r="D63">
        <v>93.4</v>
      </c>
      <c r="E63">
        <v>79.3</v>
      </c>
      <c r="F63">
        <v>95</v>
      </c>
      <c r="H63" t="s">
        <v>154</v>
      </c>
      <c r="I63" s="20">
        <v>74</v>
      </c>
      <c r="J63" s="20">
        <v>76.1</v>
      </c>
      <c r="K63" s="20">
        <v>73.8</v>
      </c>
      <c r="L63" s="20">
        <v>82.1</v>
      </c>
      <c r="M63" s="20">
        <v>69.4</v>
      </c>
      <c r="N63" s="20">
        <v>77.8</v>
      </c>
      <c r="O63" s="21">
        <f t="shared" si="2"/>
        <v>75.5333333333333</v>
      </c>
      <c r="Q63">
        <v>74</v>
      </c>
      <c r="R63">
        <v>73.8</v>
      </c>
      <c r="T63">
        <v>82.1</v>
      </c>
      <c r="U63">
        <v>77.8</v>
      </c>
      <c r="W63">
        <v>74</v>
      </c>
      <c r="X63">
        <v>76.1</v>
      </c>
      <c r="Z63">
        <v>82.1</v>
      </c>
      <c r="AA63">
        <v>69.4</v>
      </c>
      <c r="AC63">
        <v>74</v>
      </c>
      <c r="AD63">
        <v>82.1</v>
      </c>
    </row>
    <row r="64" spans="1:30">
      <c r="A64" t="s">
        <v>34</v>
      </c>
      <c r="B64">
        <v>75.8</v>
      </c>
      <c r="C64">
        <v>85.2</v>
      </c>
      <c r="D64">
        <v>85</v>
      </c>
      <c r="E64">
        <v>69.2</v>
      </c>
      <c r="F64">
        <v>86</v>
      </c>
      <c r="H64" t="s">
        <v>155</v>
      </c>
      <c r="I64" s="20">
        <v>12.6</v>
      </c>
      <c r="J64" s="20">
        <v>11.8</v>
      </c>
      <c r="K64" s="20">
        <v>7</v>
      </c>
      <c r="L64" s="20">
        <v>8</v>
      </c>
      <c r="M64" s="20">
        <v>5.4</v>
      </c>
      <c r="N64" s="20">
        <v>5</v>
      </c>
      <c r="O64" s="21">
        <f t="shared" si="2"/>
        <v>8.3</v>
      </c>
      <c r="Q64">
        <v>12.6</v>
      </c>
      <c r="R64">
        <v>7</v>
      </c>
      <c r="T64">
        <v>8</v>
      </c>
      <c r="U64">
        <v>5</v>
      </c>
      <c r="W64">
        <v>12.6</v>
      </c>
      <c r="X64">
        <v>11.8</v>
      </c>
      <c r="Z64">
        <v>8</v>
      </c>
      <c r="AA64">
        <v>5.4</v>
      </c>
      <c r="AC64">
        <v>12.6</v>
      </c>
      <c r="AD64">
        <v>8</v>
      </c>
    </row>
    <row r="65" spans="1:30">
      <c r="A65" t="s">
        <v>35</v>
      </c>
      <c r="B65">
        <v>28.4</v>
      </c>
      <c r="C65">
        <v>68.6</v>
      </c>
      <c r="D65">
        <v>95.4</v>
      </c>
      <c r="E65">
        <v>62.4</v>
      </c>
      <c r="F65">
        <v>91.6</v>
      </c>
      <c r="H65" t="s">
        <v>156</v>
      </c>
      <c r="I65" s="20">
        <v>88.4</v>
      </c>
      <c r="J65" s="20">
        <v>90.6</v>
      </c>
      <c r="K65" s="20">
        <v>88</v>
      </c>
      <c r="L65" s="20">
        <v>83.4</v>
      </c>
      <c r="M65" s="20">
        <v>89.1</v>
      </c>
      <c r="N65" s="20">
        <v>86.7</v>
      </c>
      <c r="O65" s="21">
        <f t="shared" si="2"/>
        <v>87.7</v>
      </c>
      <c r="Q65">
        <v>88.4</v>
      </c>
      <c r="R65">
        <v>88</v>
      </c>
      <c r="T65">
        <v>83.4</v>
      </c>
      <c r="U65">
        <v>86.7</v>
      </c>
      <c r="W65">
        <v>88.4</v>
      </c>
      <c r="X65">
        <v>90.6</v>
      </c>
      <c r="Z65">
        <v>83.4</v>
      </c>
      <c r="AA65">
        <v>89.1</v>
      </c>
      <c r="AC65">
        <v>88.4</v>
      </c>
      <c r="AD65">
        <v>83.4</v>
      </c>
    </row>
    <row r="66" spans="1:30">
      <c r="A66" t="s">
        <v>36</v>
      </c>
      <c r="B66">
        <v>75.3</v>
      </c>
      <c r="C66">
        <v>81.6</v>
      </c>
      <c r="D66">
        <v>85.8</v>
      </c>
      <c r="E66">
        <v>39.4</v>
      </c>
      <c r="F66">
        <v>88.2</v>
      </c>
      <c r="H66" t="s">
        <v>157</v>
      </c>
      <c r="I66" s="20">
        <v>5.8</v>
      </c>
      <c r="J66" s="20">
        <v>9.4</v>
      </c>
      <c r="K66" s="20">
        <v>5.4</v>
      </c>
      <c r="L66" s="20">
        <v>0</v>
      </c>
      <c r="M66" s="20">
        <v>1</v>
      </c>
      <c r="N66" s="20">
        <v>0</v>
      </c>
      <c r="O66" s="21">
        <f t="shared" si="2"/>
        <v>3.6</v>
      </c>
      <c r="Q66">
        <v>5.8</v>
      </c>
      <c r="R66">
        <v>5.4</v>
      </c>
      <c r="T66">
        <v>0</v>
      </c>
      <c r="U66">
        <v>0</v>
      </c>
      <c r="W66">
        <v>5.8</v>
      </c>
      <c r="X66">
        <v>9.4</v>
      </c>
      <c r="Z66">
        <v>0</v>
      </c>
      <c r="AA66">
        <v>1</v>
      </c>
      <c r="AC66">
        <v>5.8</v>
      </c>
      <c r="AD66">
        <v>0</v>
      </c>
    </row>
    <row r="67" spans="1:30">
      <c r="A67" t="s">
        <v>37</v>
      </c>
      <c r="B67">
        <v>71.6</v>
      </c>
      <c r="C67">
        <v>83.8</v>
      </c>
      <c r="D67">
        <v>95</v>
      </c>
      <c r="E67">
        <v>73</v>
      </c>
      <c r="F67">
        <v>93.2</v>
      </c>
      <c r="H67" t="s">
        <v>158</v>
      </c>
      <c r="I67" s="20">
        <v>64.8</v>
      </c>
      <c r="J67" s="20">
        <v>57.6</v>
      </c>
      <c r="K67" s="20">
        <v>57.6</v>
      </c>
      <c r="L67" s="20">
        <v>42.6</v>
      </c>
      <c r="M67" s="20">
        <v>26</v>
      </c>
      <c r="N67" s="20">
        <v>43.6</v>
      </c>
      <c r="O67" s="21">
        <f t="shared" si="2"/>
        <v>48.7</v>
      </c>
      <c r="Q67">
        <v>64.8</v>
      </c>
      <c r="R67">
        <v>57.6</v>
      </c>
      <c r="T67">
        <v>42.6</v>
      </c>
      <c r="U67">
        <v>43.6</v>
      </c>
      <c r="W67">
        <v>64.8</v>
      </c>
      <c r="X67">
        <v>57.6</v>
      </c>
      <c r="Z67">
        <v>42.6</v>
      </c>
      <c r="AA67">
        <v>26</v>
      </c>
      <c r="AC67">
        <v>64.8</v>
      </c>
      <c r="AD67">
        <v>42.6</v>
      </c>
    </row>
    <row r="68" spans="1:30">
      <c r="A68" t="s">
        <v>38</v>
      </c>
      <c r="B68">
        <v>78.8</v>
      </c>
      <c r="C68">
        <v>85.6</v>
      </c>
      <c r="D68">
        <v>98.4</v>
      </c>
      <c r="E68">
        <v>86.2</v>
      </c>
      <c r="F68">
        <v>95.2</v>
      </c>
      <c r="H68" t="s">
        <v>159</v>
      </c>
      <c r="I68" s="20">
        <v>19.2</v>
      </c>
      <c r="J68" s="20">
        <v>30.3</v>
      </c>
      <c r="K68" s="20">
        <v>30</v>
      </c>
      <c r="L68" s="20">
        <v>13.8</v>
      </c>
      <c r="M68" s="20">
        <v>24.2</v>
      </c>
      <c r="N68" s="20">
        <v>13.6</v>
      </c>
      <c r="O68" s="21">
        <f t="shared" si="2"/>
        <v>21.85</v>
      </c>
      <c r="Q68">
        <v>19.2</v>
      </c>
      <c r="R68">
        <v>30</v>
      </c>
      <c r="T68">
        <v>13.8</v>
      </c>
      <c r="U68">
        <v>13.6</v>
      </c>
      <c r="W68">
        <v>19.2</v>
      </c>
      <c r="X68">
        <v>30.3</v>
      </c>
      <c r="Z68">
        <v>13.8</v>
      </c>
      <c r="AA68">
        <v>24.2</v>
      </c>
      <c r="AC68">
        <v>19.2</v>
      </c>
      <c r="AD68">
        <v>13.8</v>
      </c>
    </row>
    <row r="69" spans="1:30">
      <c r="A69" t="s">
        <v>39</v>
      </c>
      <c r="B69">
        <v>23.6</v>
      </c>
      <c r="C69">
        <v>23.6</v>
      </c>
      <c r="D69">
        <v>95</v>
      </c>
      <c r="E69">
        <v>69.4</v>
      </c>
      <c r="F69">
        <v>89.8</v>
      </c>
      <c r="H69" t="s">
        <v>160</v>
      </c>
      <c r="I69" s="20">
        <v>87.4</v>
      </c>
      <c r="J69" s="20">
        <v>85.8</v>
      </c>
      <c r="K69" s="20">
        <v>79.4</v>
      </c>
      <c r="L69" s="20">
        <v>75</v>
      </c>
      <c r="M69" s="20">
        <v>72</v>
      </c>
      <c r="N69" s="20">
        <v>72.6</v>
      </c>
      <c r="O69" s="21">
        <f t="shared" si="2"/>
        <v>78.7</v>
      </c>
      <c r="Q69">
        <v>87.4</v>
      </c>
      <c r="R69">
        <v>79.4</v>
      </c>
      <c r="T69">
        <v>75</v>
      </c>
      <c r="U69">
        <v>72.6</v>
      </c>
      <c r="W69">
        <v>87.4</v>
      </c>
      <c r="X69">
        <v>85.8</v>
      </c>
      <c r="Z69">
        <v>75</v>
      </c>
      <c r="AA69">
        <v>72</v>
      </c>
      <c r="AC69">
        <v>87.4</v>
      </c>
      <c r="AD69">
        <v>75</v>
      </c>
    </row>
    <row r="70" spans="1:30">
      <c r="A70" t="s">
        <v>40</v>
      </c>
      <c r="B70">
        <v>40.8</v>
      </c>
      <c r="C70">
        <v>86.7</v>
      </c>
      <c r="D70">
        <v>94.2</v>
      </c>
      <c r="E70">
        <v>78.2</v>
      </c>
      <c r="F70">
        <v>90.8</v>
      </c>
      <c r="H70" t="s">
        <v>161</v>
      </c>
      <c r="I70" s="20">
        <v>56</v>
      </c>
      <c r="J70" s="20">
        <v>73.4</v>
      </c>
      <c r="K70" s="20">
        <v>75.6</v>
      </c>
      <c r="L70" s="20">
        <v>76.6</v>
      </c>
      <c r="M70" s="20">
        <v>47</v>
      </c>
      <c r="N70" s="20">
        <v>74.6</v>
      </c>
      <c r="O70" s="21">
        <f t="shared" ref="O70:O101" si="3">AVERAGE(I70:N70)</f>
        <v>67.2</v>
      </c>
      <c r="Q70">
        <v>56</v>
      </c>
      <c r="R70">
        <v>75.6</v>
      </c>
      <c r="T70">
        <v>76.6</v>
      </c>
      <c r="U70">
        <v>74.6</v>
      </c>
      <c r="W70">
        <v>56</v>
      </c>
      <c r="X70">
        <v>73.4</v>
      </c>
      <c r="Z70">
        <v>76.6</v>
      </c>
      <c r="AA70">
        <v>47</v>
      </c>
      <c r="AC70">
        <v>56</v>
      </c>
      <c r="AD70">
        <v>76.6</v>
      </c>
    </row>
    <row r="71" spans="1:30">
      <c r="A71" t="s">
        <v>41</v>
      </c>
      <c r="B71">
        <v>82.4</v>
      </c>
      <c r="C71">
        <v>53.2</v>
      </c>
      <c r="D71">
        <v>42.2</v>
      </c>
      <c r="E71">
        <v>51.2</v>
      </c>
      <c r="F71">
        <v>25.4</v>
      </c>
      <c r="H71" t="s">
        <v>162</v>
      </c>
      <c r="I71" s="20">
        <v>87.9</v>
      </c>
      <c r="J71" s="20">
        <v>87.6</v>
      </c>
      <c r="K71" s="20">
        <v>81.8</v>
      </c>
      <c r="L71" s="20">
        <v>77.6</v>
      </c>
      <c r="M71" s="20">
        <v>83.8</v>
      </c>
      <c r="N71" s="20">
        <v>76.2</v>
      </c>
      <c r="O71" s="21">
        <f t="shared" si="3"/>
        <v>82.4833333333333</v>
      </c>
      <c r="Q71">
        <v>87.9</v>
      </c>
      <c r="R71">
        <v>81.8</v>
      </c>
      <c r="T71">
        <v>77.6</v>
      </c>
      <c r="U71">
        <v>76.2</v>
      </c>
      <c r="W71">
        <v>87.9</v>
      </c>
      <c r="X71">
        <v>87.6</v>
      </c>
      <c r="Z71">
        <v>77.6</v>
      </c>
      <c r="AA71">
        <v>83.8</v>
      </c>
      <c r="AC71">
        <v>87.9</v>
      </c>
      <c r="AD71">
        <v>77.6</v>
      </c>
    </row>
    <row r="72" spans="1:30">
      <c r="A72" t="s">
        <v>42</v>
      </c>
      <c r="B72">
        <v>76.4</v>
      </c>
      <c r="C72">
        <v>76.1</v>
      </c>
      <c r="D72">
        <v>96.6</v>
      </c>
      <c r="E72">
        <v>78.2</v>
      </c>
      <c r="F72">
        <v>90.3</v>
      </c>
      <c r="H72" t="s">
        <v>163</v>
      </c>
      <c r="I72" s="20">
        <v>61.6</v>
      </c>
      <c r="J72" s="20">
        <v>72.2</v>
      </c>
      <c r="K72" s="20">
        <v>79</v>
      </c>
      <c r="L72" s="20">
        <v>66.6</v>
      </c>
      <c r="M72" s="20">
        <v>73</v>
      </c>
      <c r="N72" s="20">
        <v>72.4</v>
      </c>
      <c r="O72" s="21">
        <f t="shared" si="3"/>
        <v>70.8</v>
      </c>
      <c r="Q72">
        <v>61.6</v>
      </c>
      <c r="R72">
        <v>79</v>
      </c>
      <c r="T72">
        <v>66.6</v>
      </c>
      <c r="U72">
        <v>72.4</v>
      </c>
      <c r="W72">
        <v>61.6</v>
      </c>
      <c r="X72">
        <v>72.2</v>
      </c>
      <c r="Z72">
        <v>66.6</v>
      </c>
      <c r="AA72">
        <v>73</v>
      </c>
      <c r="AC72">
        <v>61.6</v>
      </c>
      <c r="AD72">
        <v>66.6</v>
      </c>
    </row>
    <row r="73" spans="1:30">
      <c r="A73" t="s">
        <v>43</v>
      </c>
      <c r="B73">
        <v>73.8</v>
      </c>
      <c r="C73">
        <v>11.8</v>
      </c>
      <c r="D73">
        <v>39.4</v>
      </c>
      <c r="E73">
        <v>69.4</v>
      </c>
      <c r="F73">
        <v>81.4</v>
      </c>
      <c r="H73" t="s">
        <v>164</v>
      </c>
      <c r="I73" s="20">
        <v>70.2</v>
      </c>
      <c r="J73" s="20">
        <v>71.9</v>
      </c>
      <c r="K73" s="20">
        <v>76.5</v>
      </c>
      <c r="L73" s="20">
        <v>56.4</v>
      </c>
      <c r="M73" s="20">
        <v>66.3</v>
      </c>
      <c r="N73" s="20">
        <v>63.8</v>
      </c>
      <c r="O73" s="21">
        <f t="shared" si="3"/>
        <v>67.5166666666667</v>
      </c>
      <c r="Q73">
        <v>70.2</v>
      </c>
      <c r="R73">
        <v>76.5</v>
      </c>
      <c r="T73">
        <v>56.4</v>
      </c>
      <c r="U73">
        <v>63.8</v>
      </c>
      <c r="W73">
        <v>70.2</v>
      </c>
      <c r="X73">
        <v>71.9</v>
      </c>
      <c r="Z73">
        <v>56.4</v>
      </c>
      <c r="AA73">
        <v>66.3</v>
      </c>
      <c r="AC73">
        <v>70.2</v>
      </c>
      <c r="AD73">
        <v>56.4</v>
      </c>
    </row>
    <row r="74" spans="1:30">
      <c r="A74" t="s">
        <v>44</v>
      </c>
      <c r="B74">
        <v>87.4</v>
      </c>
      <c r="C74">
        <v>90.6</v>
      </c>
      <c r="D74">
        <v>96</v>
      </c>
      <c r="E74">
        <v>83</v>
      </c>
      <c r="F74">
        <v>91</v>
      </c>
      <c r="H74" t="s">
        <v>165</v>
      </c>
      <c r="I74" s="20">
        <v>83.6</v>
      </c>
      <c r="J74" s="20">
        <v>74</v>
      </c>
      <c r="K74" s="20">
        <v>69.4</v>
      </c>
      <c r="L74" s="20">
        <v>40.2</v>
      </c>
      <c r="M74" s="20">
        <v>46.8</v>
      </c>
      <c r="N74" s="20">
        <v>50</v>
      </c>
      <c r="O74" s="21">
        <f t="shared" si="3"/>
        <v>60.6666666666667</v>
      </c>
      <c r="Q74">
        <v>83.6</v>
      </c>
      <c r="R74">
        <v>69.4</v>
      </c>
      <c r="T74">
        <v>40.2</v>
      </c>
      <c r="U74">
        <v>50</v>
      </c>
      <c r="W74">
        <v>83.6</v>
      </c>
      <c r="X74">
        <v>74</v>
      </c>
      <c r="Z74">
        <v>40.2</v>
      </c>
      <c r="AA74">
        <v>46.8</v>
      </c>
      <c r="AC74">
        <v>83.6</v>
      </c>
      <c r="AD74">
        <v>40.2</v>
      </c>
    </row>
    <row r="75" spans="1:30">
      <c r="A75" t="s">
        <v>46</v>
      </c>
      <c r="B75">
        <v>0</v>
      </c>
      <c r="C75">
        <v>9.4</v>
      </c>
      <c r="D75">
        <v>62</v>
      </c>
      <c r="E75">
        <v>73.1</v>
      </c>
      <c r="F75">
        <v>87.4</v>
      </c>
      <c r="H75" t="s">
        <v>166</v>
      </c>
      <c r="I75" s="20">
        <v>76.8</v>
      </c>
      <c r="J75" s="20">
        <v>86</v>
      </c>
      <c r="K75" s="20">
        <v>85.8</v>
      </c>
      <c r="L75" s="20">
        <v>82.4</v>
      </c>
      <c r="M75" s="20">
        <v>74</v>
      </c>
      <c r="N75" s="20">
        <v>74.4</v>
      </c>
      <c r="O75" s="21">
        <f t="shared" si="3"/>
        <v>79.9</v>
      </c>
      <c r="Q75">
        <v>76.8</v>
      </c>
      <c r="R75">
        <v>85.8</v>
      </c>
      <c r="T75">
        <v>82.4</v>
      </c>
      <c r="U75">
        <v>74.4</v>
      </c>
      <c r="W75">
        <v>76.8</v>
      </c>
      <c r="X75">
        <v>86</v>
      </c>
      <c r="Z75">
        <v>82.4</v>
      </c>
      <c r="AA75">
        <v>74</v>
      </c>
      <c r="AC75">
        <v>76.8</v>
      </c>
      <c r="AD75">
        <v>82.4</v>
      </c>
    </row>
    <row r="76" spans="1:30">
      <c r="A76" t="s">
        <v>45</v>
      </c>
      <c r="B76">
        <v>34.8</v>
      </c>
      <c r="C76">
        <v>57.6</v>
      </c>
      <c r="D76">
        <v>86.8</v>
      </c>
      <c r="E76">
        <v>82.2</v>
      </c>
      <c r="F76">
        <v>94.2</v>
      </c>
      <c r="H76" t="s">
        <v>167</v>
      </c>
      <c r="I76" s="20">
        <v>65.5</v>
      </c>
      <c r="J76" s="20">
        <v>81.8</v>
      </c>
      <c r="K76" s="20">
        <v>66</v>
      </c>
      <c r="L76" s="20">
        <v>66.2</v>
      </c>
      <c r="M76" s="20">
        <v>47</v>
      </c>
      <c r="N76" s="20">
        <v>72.6</v>
      </c>
      <c r="O76" s="21">
        <f t="shared" si="3"/>
        <v>66.5166666666667</v>
      </c>
      <c r="Q76">
        <v>65.5</v>
      </c>
      <c r="R76">
        <v>66</v>
      </c>
      <c r="T76">
        <v>66.2</v>
      </c>
      <c r="U76">
        <v>72.6</v>
      </c>
      <c r="W76">
        <v>65.5</v>
      </c>
      <c r="X76">
        <v>81.8</v>
      </c>
      <c r="Z76">
        <v>66.2</v>
      </c>
      <c r="AA76">
        <v>47</v>
      </c>
      <c r="AC76">
        <v>65.5</v>
      </c>
      <c r="AD76">
        <v>66.2</v>
      </c>
    </row>
    <row r="77" spans="1:30">
      <c r="A77" t="s">
        <v>47</v>
      </c>
      <c r="B77">
        <v>27.8</v>
      </c>
      <c r="C77">
        <v>30.3</v>
      </c>
      <c r="D77">
        <v>95.6</v>
      </c>
      <c r="E77">
        <v>76.4</v>
      </c>
      <c r="F77">
        <v>93</v>
      </c>
      <c r="H77" t="s">
        <v>168</v>
      </c>
      <c r="I77" s="20">
        <v>94</v>
      </c>
      <c r="J77" s="20">
        <v>93</v>
      </c>
      <c r="K77" s="20">
        <v>98</v>
      </c>
      <c r="L77" s="20">
        <v>92</v>
      </c>
      <c r="M77" s="20">
        <v>78.4</v>
      </c>
      <c r="N77" s="20">
        <v>88</v>
      </c>
      <c r="O77" s="21">
        <f t="shared" si="3"/>
        <v>90.5666666666667</v>
      </c>
      <c r="Q77">
        <v>94</v>
      </c>
      <c r="R77">
        <v>98</v>
      </c>
      <c r="T77">
        <v>92</v>
      </c>
      <c r="U77">
        <v>88</v>
      </c>
      <c r="W77">
        <v>94</v>
      </c>
      <c r="X77">
        <v>93</v>
      </c>
      <c r="Z77">
        <v>92</v>
      </c>
      <c r="AA77">
        <v>78.4</v>
      </c>
      <c r="AC77">
        <v>94</v>
      </c>
      <c r="AD77">
        <v>92</v>
      </c>
    </row>
    <row r="78" spans="1:30">
      <c r="A78" t="s">
        <v>48</v>
      </c>
      <c r="B78">
        <v>66</v>
      </c>
      <c r="C78">
        <v>85.8</v>
      </c>
      <c r="D78">
        <v>91.4</v>
      </c>
      <c r="E78">
        <v>56</v>
      </c>
      <c r="F78">
        <v>85.2</v>
      </c>
      <c r="H78" t="s">
        <v>169</v>
      </c>
      <c r="I78" s="20">
        <v>93</v>
      </c>
      <c r="J78" s="20">
        <v>95</v>
      </c>
      <c r="K78" s="20">
        <v>94</v>
      </c>
      <c r="L78" s="20">
        <v>93.6</v>
      </c>
      <c r="M78" s="20">
        <v>94</v>
      </c>
      <c r="N78" s="20">
        <v>94.6</v>
      </c>
      <c r="O78" s="21">
        <f t="shared" si="3"/>
        <v>94.0333333333333</v>
      </c>
      <c r="Q78">
        <v>93</v>
      </c>
      <c r="R78">
        <v>94</v>
      </c>
      <c r="T78">
        <v>93.6</v>
      </c>
      <c r="U78">
        <v>94.6</v>
      </c>
      <c r="W78">
        <v>93</v>
      </c>
      <c r="X78">
        <v>95</v>
      </c>
      <c r="Z78">
        <v>93.6</v>
      </c>
      <c r="AA78">
        <v>94</v>
      </c>
      <c r="AC78">
        <v>93</v>
      </c>
      <c r="AD78">
        <v>93.6</v>
      </c>
    </row>
    <row r="79" spans="1:30">
      <c r="A79" t="s">
        <v>49</v>
      </c>
      <c r="B79">
        <v>52</v>
      </c>
      <c r="C79">
        <v>73.4</v>
      </c>
      <c r="D79">
        <v>92.8</v>
      </c>
      <c r="E79">
        <v>60</v>
      </c>
      <c r="F79">
        <v>95</v>
      </c>
      <c r="H79" t="s">
        <v>170</v>
      </c>
      <c r="I79" s="20">
        <v>79.4</v>
      </c>
      <c r="J79" s="20">
        <v>83.4</v>
      </c>
      <c r="K79" s="20">
        <v>82.6</v>
      </c>
      <c r="L79" s="20">
        <v>73</v>
      </c>
      <c r="M79" s="20">
        <v>78.4</v>
      </c>
      <c r="N79" s="20">
        <v>64</v>
      </c>
      <c r="O79" s="21">
        <f t="shared" si="3"/>
        <v>76.8</v>
      </c>
      <c r="Q79">
        <v>79.4</v>
      </c>
      <c r="R79">
        <v>82.6</v>
      </c>
      <c r="T79">
        <v>73</v>
      </c>
      <c r="U79">
        <v>64</v>
      </c>
      <c r="W79">
        <v>79.4</v>
      </c>
      <c r="X79">
        <v>83.4</v>
      </c>
      <c r="Z79">
        <v>73</v>
      </c>
      <c r="AA79">
        <v>78.4</v>
      </c>
      <c r="AC79">
        <v>79.4</v>
      </c>
      <c r="AD79">
        <v>73</v>
      </c>
    </row>
    <row r="80" spans="1:30">
      <c r="A80" t="s">
        <v>50</v>
      </c>
      <c r="B80">
        <v>76</v>
      </c>
      <c r="C80">
        <v>87.6</v>
      </c>
      <c r="D80">
        <v>92</v>
      </c>
      <c r="E80">
        <v>85.4</v>
      </c>
      <c r="F80">
        <v>81.6</v>
      </c>
      <c r="H80" t="s">
        <v>171</v>
      </c>
      <c r="I80" s="20">
        <v>32.4</v>
      </c>
      <c r="J80" s="20">
        <v>31.6</v>
      </c>
      <c r="K80" s="20">
        <v>40.6</v>
      </c>
      <c r="L80" s="20">
        <v>21.4</v>
      </c>
      <c r="M80" s="20">
        <v>32.8</v>
      </c>
      <c r="N80" s="20">
        <v>38.8</v>
      </c>
      <c r="O80" s="21">
        <f t="shared" si="3"/>
        <v>32.9333333333333</v>
      </c>
      <c r="Q80">
        <v>32.4</v>
      </c>
      <c r="R80">
        <v>40.6</v>
      </c>
      <c r="T80">
        <v>21.4</v>
      </c>
      <c r="U80">
        <v>38.8</v>
      </c>
      <c r="W80">
        <v>32.4</v>
      </c>
      <c r="X80">
        <v>31.6</v>
      </c>
      <c r="Z80">
        <v>21.4</v>
      </c>
      <c r="AA80">
        <v>32.8</v>
      </c>
      <c r="AC80">
        <v>32.4</v>
      </c>
      <c r="AD80">
        <v>21.4</v>
      </c>
    </row>
    <row r="81" spans="1:30">
      <c r="A81" t="s">
        <v>51</v>
      </c>
      <c r="B81">
        <v>81.2</v>
      </c>
      <c r="C81">
        <v>72.2</v>
      </c>
      <c r="D81">
        <v>97.2</v>
      </c>
      <c r="E81">
        <v>82.4</v>
      </c>
      <c r="F81">
        <v>90.2</v>
      </c>
      <c r="H81" t="s">
        <v>172</v>
      </c>
      <c r="I81" s="20">
        <v>93.8</v>
      </c>
      <c r="J81" s="20">
        <v>96.4</v>
      </c>
      <c r="K81" s="20">
        <v>98</v>
      </c>
      <c r="L81" s="20">
        <v>98</v>
      </c>
      <c r="M81" s="20">
        <v>93</v>
      </c>
      <c r="N81" s="20">
        <v>94</v>
      </c>
      <c r="O81" s="21">
        <f t="shared" si="3"/>
        <v>95.5333333333333</v>
      </c>
      <c r="Q81">
        <v>93.8</v>
      </c>
      <c r="R81">
        <v>98</v>
      </c>
      <c r="T81">
        <v>98</v>
      </c>
      <c r="U81">
        <v>94</v>
      </c>
      <c r="W81">
        <v>93.8</v>
      </c>
      <c r="X81">
        <v>96.4</v>
      </c>
      <c r="Z81">
        <v>98</v>
      </c>
      <c r="AA81">
        <v>93</v>
      </c>
      <c r="AC81">
        <v>93.8</v>
      </c>
      <c r="AD81">
        <v>98</v>
      </c>
    </row>
    <row r="82" spans="1:30">
      <c r="A82" t="s">
        <v>54</v>
      </c>
      <c r="B82">
        <v>0</v>
      </c>
      <c r="C82">
        <v>71.9</v>
      </c>
      <c r="D82">
        <v>91</v>
      </c>
      <c r="E82">
        <v>69.2</v>
      </c>
      <c r="F82">
        <v>88.6</v>
      </c>
      <c r="H82" t="s">
        <v>173</v>
      </c>
      <c r="I82" s="20">
        <v>89.4</v>
      </c>
      <c r="J82" s="20">
        <v>94.8</v>
      </c>
      <c r="K82" s="20">
        <v>97.6</v>
      </c>
      <c r="L82" s="20">
        <v>95.2</v>
      </c>
      <c r="M82" s="20">
        <v>93.8</v>
      </c>
      <c r="N82" s="20">
        <v>96</v>
      </c>
      <c r="O82" s="21">
        <f t="shared" si="3"/>
        <v>94.4666666666667</v>
      </c>
      <c r="Q82">
        <v>89.4</v>
      </c>
      <c r="R82">
        <v>97.6</v>
      </c>
      <c r="T82">
        <v>95.2</v>
      </c>
      <c r="U82">
        <v>96</v>
      </c>
      <c r="W82">
        <v>89.4</v>
      </c>
      <c r="X82">
        <v>94.8</v>
      </c>
      <c r="Z82">
        <v>95.2</v>
      </c>
      <c r="AA82">
        <v>93.8</v>
      </c>
      <c r="AC82">
        <v>89.4</v>
      </c>
      <c r="AD82">
        <v>95.2</v>
      </c>
    </row>
    <row r="83" spans="1:30">
      <c r="A83" t="s">
        <v>52</v>
      </c>
      <c r="B83">
        <v>36.4</v>
      </c>
      <c r="C83">
        <v>74</v>
      </c>
      <c r="D83">
        <v>94.4</v>
      </c>
      <c r="E83">
        <v>64</v>
      </c>
      <c r="F83">
        <v>93.4</v>
      </c>
      <c r="H83" t="s">
        <v>174</v>
      </c>
      <c r="I83" s="20">
        <v>91.4</v>
      </c>
      <c r="J83" s="20">
        <v>96</v>
      </c>
      <c r="K83" s="20">
        <v>98.6</v>
      </c>
      <c r="L83" s="20">
        <v>95.6</v>
      </c>
      <c r="M83" s="20">
        <v>92</v>
      </c>
      <c r="N83" s="20">
        <v>96</v>
      </c>
      <c r="O83" s="21">
        <f t="shared" si="3"/>
        <v>94.9333333333333</v>
      </c>
      <c r="Q83">
        <v>91.4</v>
      </c>
      <c r="R83">
        <v>98.6</v>
      </c>
      <c r="T83">
        <v>95.6</v>
      </c>
      <c r="U83">
        <v>96</v>
      </c>
      <c r="W83">
        <v>91.4</v>
      </c>
      <c r="X83">
        <v>96</v>
      </c>
      <c r="Z83">
        <v>95.6</v>
      </c>
      <c r="AA83">
        <v>92</v>
      </c>
      <c r="AC83">
        <v>91.4</v>
      </c>
      <c r="AD83">
        <v>95.6</v>
      </c>
    </row>
    <row r="84" spans="1:30">
      <c r="A84" t="s">
        <v>53</v>
      </c>
      <c r="B84">
        <v>89.4</v>
      </c>
      <c r="C84">
        <v>86</v>
      </c>
      <c r="D84">
        <v>93.4</v>
      </c>
      <c r="E84">
        <v>81</v>
      </c>
      <c r="F84">
        <v>94.2</v>
      </c>
      <c r="H84" t="s">
        <v>175</v>
      </c>
      <c r="I84" s="20">
        <v>92.4</v>
      </c>
      <c r="J84" s="20">
        <v>98</v>
      </c>
      <c r="K84" s="20">
        <v>98</v>
      </c>
      <c r="L84" s="20">
        <v>93</v>
      </c>
      <c r="M84" s="20">
        <v>93</v>
      </c>
      <c r="N84" s="20">
        <v>95</v>
      </c>
      <c r="O84" s="21">
        <f t="shared" si="3"/>
        <v>94.9</v>
      </c>
      <c r="Q84">
        <v>92.4</v>
      </c>
      <c r="R84">
        <v>98</v>
      </c>
      <c r="T84">
        <v>93</v>
      </c>
      <c r="U84">
        <v>95</v>
      </c>
      <c r="W84">
        <v>92.4</v>
      </c>
      <c r="X84">
        <v>98</v>
      </c>
      <c r="Z84">
        <v>93</v>
      </c>
      <c r="AA84">
        <v>93</v>
      </c>
      <c r="AC84">
        <v>92.4</v>
      </c>
      <c r="AD84">
        <v>93</v>
      </c>
    </row>
    <row r="85" spans="1:30">
      <c r="A85" t="s">
        <v>55</v>
      </c>
      <c r="B85">
        <v>82.6</v>
      </c>
      <c r="C85">
        <v>81.8</v>
      </c>
      <c r="D85">
        <v>90.8</v>
      </c>
      <c r="E85">
        <v>66</v>
      </c>
      <c r="F85">
        <v>78.8</v>
      </c>
      <c r="H85" t="s">
        <v>176</v>
      </c>
      <c r="I85" s="20">
        <v>97</v>
      </c>
      <c r="J85" s="20">
        <v>93.4</v>
      </c>
      <c r="K85" s="20">
        <v>90.4</v>
      </c>
      <c r="L85" s="20">
        <v>96.8</v>
      </c>
      <c r="M85" s="20">
        <v>93.6</v>
      </c>
      <c r="N85" s="20">
        <v>96.8</v>
      </c>
      <c r="O85" s="21">
        <f t="shared" si="3"/>
        <v>94.6666666666667</v>
      </c>
      <c r="Q85">
        <v>97</v>
      </c>
      <c r="R85">
        <v>90.4</v>
      </c>
      <c r="T85">
        <v>96.8</v>
      </c>
      <c r="U85">
        <v>96.8</v>
      </c>
      <c r="W85">
        <v>97</v>
      </c>
      <c r="X85">
        <v>93.4</v>
      </c>
      <c r="Z85">
        <v>96.8</v>
      </c>
      <c r="AA85">
        <v>93.6</v>
      </c>
      <c r="AC85">
        <v>97</v>
      </c>
      <c r="AD85">
        <v>96.8</v>
      </c>
    </row>
    <row r="86" spans="1:30">
      <c r="A86" s="2" t="s">
        <v>446</v>
      </c>
      <c r="B86" s="2" t="s">
        <v>346</v>
      </c>
      <c r="C86" s="2" t="s">
        <v>347</v>
      </c>
      <c r="D86" s="2" t="s">
        <v>348</v>
      </c>
      <c r="E86" s="2" t="s">
        <v>349</v>
      </c>
      <c r="F86" s="2" t="s">
        <v>350</v>
      </c>
      <c r="H86" t="s">
        <v>177</v>
      </c>
      <c r="I86" s="20">
        <v>59</v>
      </c>
      <c r="J86" s="20">
        <v>49.1</v>
      </c>
      <c r="K86" s="20">
        <v>50.2</v>
      </c>
      <c r="L86" s="20">
        <v>40</v>
      </c>
      <c r="M86" s="20">
        <v>36</v>
      </c>
      <c r="N86" s="20">
        <v>29.4</v>
      </c>
      <c r="O86" s="21">
        <f t="shared" si="3"/>
        <v>43.95</v>
      </c>
      <c r="Q86">
        <v>59</v>
      </c>
      <c r="R86">
        <v>50.2</v>
      </c>
      <c r="T86">
        <v>40</v>
      </c>
      <c r="U86">
        <v>29.4</v>
      </c>
      <c r="W86">
        <v>59</v>
      </c>
      <c r="X86">
        <v>49.1</v>
      </c>
      <c r="Z86">
        <v>40</v>
      </c>
      <c r="AA86">
        <v>36</v>
      </c>
      <c r="AC86">
        <v>59</v>
      </c>
      <c r="AD86">
        <v>40</v>
      </c>
    </row>
    <row r="87" spans="1:30">
      <c r="A87" t="s">
        <v>20</v>
      </c>
      <c r="B87">
        <v>50.6</v>
      </c>
      <c r="C87">
        <v>88.1</v>
      </c>
      <c r="D87">
        <v>98</v>
      </c>
      <c r="E87">
        <v>85.2</v>
      </c>
      <c r="F87">
        <v>87.2</v>
      </c>
      <c r="H87" t="s">
        <v>178</v>
      </c>
      <c r="I87" s="20">
        <v>97.4</v>
      </c>
      <c r="J87" s="20">
        <v>97.6</v>
      </c>
      <c r="K87" s="20">
        <v>95.4</v>
      </c>
      <c r="L87" s="20">
        <v>95.2</v>
      </c>
      <c r="M87" s="20">
        <v>95.2</v>
      </c>
      <c r="N87" s="20">
        <v>96</v>
      </c>
      <c r="O87" s="21">
        <f t="shared" si="3"/>
        <v>96.1333333333333</v>
      </c>
      <c r="Q87">
        <v>97.4</v>
      </c>
      <c r="R87">
        <v>95.4</v>
      </c>
      <c r="T87">
        <v>95.2</v>
      </c>
      <c r="U87">
        <v>96</v>
      </c>
      <c r="W87">
        <v>97.4</v>
      </c>
      <c r="X87">
        <v>97.6</v>
      </c>
      <c r="Z87">
        <v>95.2</v>
      </c>
      <c r="AA87">
        <v>95.2</v>
      </c>
      <c r="AC87">
        <v>97.4</v>
      </c>
      <c r="AD87">
        <v>95.2</v>
      </c>
    </row>
    <row r="88" spans="1:30">
      <c r="A88" t="s">
        <v>21</v>
      </c>
      <c r="B88">
        <v>62.6</v>
      </c>
      <c r="C88">
        <v>80.8</v>
      </c>
      <c r="D88">
        <v>94</v>
      </c>
      <c r="E88">
        <v>70.2</v>
      </c>
      <c r="F88">
        <v>95.1</v>
      </c>
      <c r="H88" t="s">
        <v>179</v>
      </c>
      <c r="I88" s="20">
        <v>96</v>
      </c>
      <c r="J88" s="20">
        <v>98</v>
      </c>
      <c r="K88" s="20">
        <v>93</v>
      </c>
      <c r="L88" s="20">
        <v>94.4</v>
      </c>
      <c r="M88" s="20">
        <v>97.6</v>
      </c>
      <c r="N88" s="20">
        <v>95.2</v>
      </c>
      <c r="O88" s="21">
        <f t="shared" si="3"/>
        <v>95.7</v>
      </c>
      <c r="Q88">
        <v>96</v>
      </c>
      <c r="R88">
        <v>93</v>
      </c>
      <c r="T88">
        <v>94.4</v>
      </c>
      <c r="U88">
        <v>95.2</v>
      </c>
      <c r="W88">
        <v>96</v>
      </c>
      <c r="X88">
        <v>98</v>
      </c>
      <c r="Z88">
        <v>94.4</v>
      </c>
      <c r="AA88">
        <v>97.6</v>
      </c>
      <c r="AC88">
        <v>96</v>
      </c>
      <c r="AD88">
        <v>94.4</v>
      </c>
    </row>
    <row r="89" spans="1:30">
      <c r="A89" t="s">
        <v>22</v>
      </c>
      <c r="B89">
        <v>76.6</v>
      </c>
      <c r="C89">
        <v>27.8</v>
      </c>
      <c r="D89">
        <v>82.6</v>
      </c>
      <c r="E89">
        <v>36.8</v>
      </c>
      <c r="F89">
        <v>79.4</v>
      </c>
      <c r="H89" t="s">
        <v>180</v>
      </c>
      <c r="I89" s="20">
        <v>96</v>
      </c>
      <c r="J89" s="20">
        <v>96</v>
      </c>
      <c r="K89" s="20">
        <v>96</v>
      </c>
      <c r="L89" s="20">
        <v>95</v>
      </c>
      <c r="M89" s="20">
        <v>93.8</v>
      </c>
      <c r="N89" s="20">
        <v>97</v>
      </c>
      <c r="O89" s="21">
        <f t="shared" si="3"/>
        <v>95.6333333333333</v>
      </c>
      <c r="Q89">
        <v>96</v>
      </c>
      <c r="R89">
        <v>96</v>
      </c>
      <c r="T89">
        <v>95</v>
      </c>
      <c r="U89">
        <v>97</v>
      </c>
      <c r="W89">
        <v>96</v>
      </c>
      <c r="X89">
        <v>96</v>
      </c>
      <c r="Z89">
        <v>95</v>
      </c>
      <c r="AA89">
        <v>93.8</v>
      </c>
      <c r="AC89">
        <v>96</v>
      </c>
      <c r="AD89">
        <v>95</v>
      </c>
    </row>
    <row r="90" spans="1:30">
      <c r="A90" t="s">
        <v>23</v>
      </c>
      <c r="B90">
        <v>78.7</v>
      </c>
      <c r="C90">
        <v>70.6</v>
      </c>
      <c r="D90">
        <v>40.6</v>
      </c>
      <c r="E90">
        <v>77.2</v>
      </c>
      <c r="F90">
        <v>93.2</v>
      </c>
      <c r="H90" t="s">
        <v>181</v>
      </c>
      <c r="I90" s="20">
        <v>92.2</v>
      </c>
      <c r="J90" s="20">
        <v>93.4</v>
      </c>
      <c r="K90" s="20">
        <v>88.6</v>
      </c>
      <c r="L90" s="20">
        <v>86.7</v>
      </c>
      <c r="M90" s="20">
        <v>89.4</v>
      </c>
      <c r="N90" s="20">
        <v>89.6</v>
      </c>
      <c r="O90" s="21">
        <f t="shared" si="3"/>
        <v>89.9833333333333</v>
      </c>
      <c r="Q90">
        <v>92.2</v>
      </c>
      <c r="R90">
        <v>88.6</v>
      </c>
      <c r="T90">
        <v>86.7</v>
      </c>
      <c r="U90">
        <v>89.6</v>
      </c>
      <c r="W90">
        <v>92.2</v>
      </c>
      <c r="X90">
        <v>93.4</v>
      </c>
      <c r="Z90">
        <v>86.7</v>
      </c>
      <c r="AA90">
        <v>89.4</v>
      </c>
      <c r="AC90">
        <v>92.2</v>
      </c>
      <c r="AD90">
        <v>86.7</v>
      </c>
    </row>
    <row r="91" spans="1:30">
      <c r="A91" t="s">
        <v>24</v>
      </c>
      <c r="B91">
        <v>75.7</v>
      </c>
      <c r="C91">
        <v>81.3</v>
      </c>
      <c r="D91">
        <v>98</v>
      </c>
      <c r="E91">
        <v>75.8</v>
      </c>
      <c r="F91">
        <v>76.2</v>
      </c>
      <c r="H91" t="s">
        <v>182</v>
      </c>
      <c r="I91" s="20">
        <v>84.4</v>
      </c>
      <c r="J91" s="20">
        <v>85</v>
      </c>
      <c r="K91" s="20">
        <v>91.8</v>
      </c>
      <c r="L91" s="20">
        <v>80.6</v>
      </c>
      <c r="M91" s="20">
        <v>89.4</v>
      </c>
      <c r="N91" s="20">
        <v>90.4</v>
      </c>
      <c r="O91" s="21">
        <f t="shared" si="3"/>
        <v>86.9333333333333</v>
      </c>
      <c r="Q91">
        <v>84.4</v>
      </c>
      <c r="R91">
        <v>91.8</v>
      </c>
      <c r="T91">
        <v>80.6</v>
      </c>
      <c r="U91">
        <v>90.4</v>
      </c>
      <c r="W91">
        <v>84.4</v>
      </c>
      <c r="X91">
        <v>85</v>
      </c>
      <c r="Z91">
        <v>80.6</v>
      </c>
      <c r="AA91">
        <v>89.4</v>
      </c>
      <c r="AC91">
        <v>84.4</v>
      </c>
      <c r="AD91">
        <v>80.6</v>
      </c>
    </row>
    <row r="92" spans="1:30">
      <c r="A92" t="s">
        <v>25</v>
      </c>
      <c r="B92">
        <v>80.4</v>
      </c>
      <c r="C92">
        <v>80.6</v>
      </c>
      <c r="D92">
        <v>97.6</v>
      </c>
      <c r="E92">
        <v>83.8</v>
      </c>
      <c r="F92">
        <v>96.4</v>
      </c>
      <c r="H92" t="s">
        <v>183</v>
      </c>
      <c r="I92" s="20">
        <v>89.4</v>
      </c>
      <c r="J92" s="20">
        <v>95.4</v>
      </c>
      <c r="K92" s="20">
        <v>92</v>
      </c>
      <c r="L92" s="20">
        <v>81.4</v>
      </c>
      <c r="M92" s="20">
        <v>90.8</v>
      </c>
      <c r="N92" s="20">
        <v>85.8</v>
      </c>
      <c r="O92" s="21">
        <f t="shared" si="3"/>
        <v>89.1333333333333</v>
      </c>
      <c r="Q92">
        <v>89.4</v>
      </c>
      <c r="R92">
        <v>92</v>
      </c>
      <c r="T92">
        <v>81.4</v>
      </c>
      <c r="U92">
        <v>85.8</v>
      </c>
      <c r="W92">
        <v>89.4</v>
      </c>
      <c r="X92">
        <v>95.4</v>
      </c>
      <c r="Z92">
        <v>81.4</v>
      </c>
      <c r="AA92">
        <v>90.8</v>
      </c>
      <c r="AC92">
        <v>89.4</v>
      </c>
      <c r="AD92">
        <v>81.4</v>
      </c>
    </row>
    <row r="93" spans="1:30">
      <c r="A93" t="s">
        <v>26</v>
      </c>
      <c r="B93">
        <v>72.6</v>
      </c>
      <c r="C93">
        <v>86.8</v>
      </c>
      <c r="D93">
        <v>98.6</v>
      </c>
      <c r="E93">
        <v>79.8</v>
      </c>
      <c r="F93">
        <v>84</v>
      </c>
      <c r="H93" t="s">
        <v>184</v>
      </c>
      <c r="I93" s="20">
        <v>88.8</v>
      </c>
      <c r="J93" s="20">
        <v>85.8</v>
      </c>
      <c r="K93" s="20">
        <v>85.8</v>
      </c>
      <c r="L93" s="20">
        <v>90.8</v>
      </c>
      <c r="M93" s="20">
        <v>81.4</v>
      </c>
      <c r="N93" s="20">
        <v>88.8</v>
      </c>
      <c r="O93" s="21">
        <f t="shared" si="3"/>
        <v>86.9</v>
      </c>
      <c r="Q93">
        <v>88.8</v>
      </c>
      <c r="R93">
        <v>85.8</v>
      </c>
      <c r="T93">
        <v>90.8</v>
      </c>
      <c r="U93">
        <v>88.8</v>
      </c>
      <c r="W93">
        <v>88.8</v>
      </c>
      <c r="X93">
        <v>85.8</v>
      </c>
      <c r="Z93">
        <v>90.8</v>
      </c>
      <c r="AA93">
        <v>81.4</v>
      </c>
      <c r="AC93">
        <v>88.8</v>
      </c>
      <c r="AD93">
        <v>90.8</v>
      </c>
    </row>
    <row r="94" spans="1:30">
      <c r="A94" t="s">
        <v>27</v>
      </c>
      <c r="B94">
        <v>71</v>
      </c>
      <c r="C94">
        <v>81.6</v>
      </c>
      <c r="D94">
        <v>98</v>
      </c>
      <c r="E94">
        <v>72.6</v>
      </c>
      <c r="F94">
        <v>90.6</v>
      </c>
      <c r="H94" t="s">
        <v>185</v>
      </c>
      <c r="I94" s="20">
        <v>96.4</v>
      </c>
      <c r="J94" s="20">
        <v>95</v>
      </c>
      <c r="K94" s="20">
        <v>96.8</v>
      </c>
      <c r="L94" s="20">
        <v>92.8</v>
      </c>
      <c r="M94" s="20">
        <v>91</v>
      </c>
      <c r="N94" s="20">
        <v>96.8</v>
      </c>
      <c r="O94" s="21">
        <f t="shared" si="3"/>
        <v>94.8</v>
      </c>
      <c r="Q94">
        <v>96.4</v>
      </c>
      <c r="R94">
        <v>96.8</v>
      </c>
      <c r="T94">
        <v>92.8</v>
      </c>
      <c r="U94">
        <v>96.8</v>
      </c>
      <c r="W94">
        <v>96.4</v>
      </c>
      <c r="X94">
        <v>95</v>
      </c>
      <c r="Z94">
        <v>92.8</v>
      </c>
      <c r="AA94">
        <v>91</v>
      </c>
      <c r="AC94">
        <v>96.4</v>
      </c>
      <c r="AD94">
        <v>92.8</v>
      </c>
    </row>
    <row r="95" spans="1:30">
      <c r="A95" t="s">
        <v>28</v>
      </c>
      <c r="B95">
        <v>75.8</v>
      </c>
      <c r="C95">
        <v>86.6</v>
      </c>
      <c r="D95">
        <v>90.4</v>
      </c>
      <c r="E95">
        <v>77</v>
      </c>
      <c r="F95">
        <v>90</v>
      </c>
      <c r="H95" t="s">
        <v>186</v>
      </c>
      <c r="I95" s="20">
        <v>99</v>
      </c>
      <c r="J95" s="20">
        <v>98.4</v>
      </c>
      <c r="K95" s="20">
        <v>97</v>
      </c>
      <c r="L95" s="20">
        <v>98.4</v>
      </c>
      <c r="M95" s="20">
        <v>98.8</v>
      </c>
      <c r="N95" s="20">
        <v>98</v>
      </c>
      <c r="O95" s="21">
        <f t="shared" si="3"/>
        <v>98.2666666666667</v>
      </c>
      <c r="Q95">
        <v>99</v>
      </c>
      <c r="R95">
        <v>97</v>
      </c>
      <c r="T95">
        <v>98.4</v>
      </c>
      <c r="U95">
        <v>98</v>
      </c>
      <c r="W95">
        <v>99</v>
      </c>
      <c r="X95">
        <v>98.4</v>
      </c>
      <c r="Z95">
        <v>98.4</v>
      </c>
      <c r="AA95">
        <v>98.8</v>
      </c>
      <c r="AC95">
        <v>99</v>
      </c>
      <c r="AD95">
        <v>98.4</v>
      </c>
    </row>
    <row r="96" spans="1:30">
      <c r="A96" t="s">
        <v>29</v>
      </c>
      <c r="B96">
        <v>0</v>
      </c>
      <c r="C96">
        <v>76</v>
      </c>
      <c r="D96">
        <v>50.2</v>
      </c>
      <c r="E96">
        <v>14</v>
      </c>
      <c r="F96">
        <v>92.4</v>
      </c>
      <c r="H96" t="s">
        <v>187</v>
      </c>
      <c r="I96" s="20">
        <v>96.8</v>
      </c>
      <c r="J96" s="20">
        <v>95</v>
      </c>
      <c r="K96" s="20">
        <v>91.4</v>
      </c>
      <c r="L96" s="20">
        <v>91</v>
      </c>
      <c r="M96" s="20">
        <v>96</v>
      </c>
      <c r="N96" s="20">
        <v>95</v>
      </c>
      <c r="O96" s="21">
        <f t="shared" si="3"/>
        <v>94.2</v>
      </c>
      <c r="Q96">
        <v>96.8</v>
      </c>
      <c r="R96">
        <v>91.4</v>
      </c>
      <c r="T96">
        <v>91</v>
      </c>
      <c r="U96">
        <v>95</v>
      </c>
      <c r="W96">
        <v>96.8</v>
      </c>
      <c r="X96">
        <v>95</v>
      </c>
      <c r="Z96">
        <v>91</v>
      </c>
      <c r="AA96">
        <v>96</v>
      </c>
      <c r="AC96">
        <v>96.8</v>
      </c>
      <c r="AD96">
        <v>91</v>
      </c>
    </row>
    <row r="97" spans="1:30">
      <c r="A97" t="s">
        <v>30</v>
      </c>
      <c r="B97">
        <v>84</v>
      </c>
      <c r="C97">
        <v>80.8</v>
      </c>
      <c r="D97">
        <v>95.4</v>
      </c>
      <c r="E97">
        <v>83.4</v>
      </c>
      <c r="F97">
        <v>93.8</v>
      </c>
      <c r="H97" t="s">
        <v>188</v>
      </c>
      <c r="I97" s="20">
        <v>95.4</v>
      </c>
      <c r="J97" s="20">
        <v>94.2</v>
      </c>
      <c r="K97" s="20">
        <v>93.4</v>
      </c>
      <c r="L97" s="20">
        <v>93</v>
      </c>
      <c r="M97" s="20">
        <v>93.4</v>
      </c>
      <c r="N97" s="20">
        <v>95.2</v>
      </c>
      <c r="O97" s="21">
        <f t="shared" si="3"/>
        <v>94.1</v>
      </c>
      <c r="Q97">
        <v>95.4</v>
      </c>
      <c r="R97">
        <v>93.4</v>
      </c>
      <c r="T97">
        <v>93</v>
      </c>
      <c r="U97">
        <v>95.2</v>
      </c>
      <c r="W97">
        <v>95.4</v>
      </c>
      <c r="X97">
        <v>94.2</v>
      </c>
      <c r="Z97">
        <v>93</v>
      </c>
      <c r="AA97">
        <v>93.4</v>
      </c>
      <c r="AC97">
        <v>95.4</v>
      </c>
      <c r="AD97">
        <v>93</v>
      </c>
    </row>
    <row r="98" spans="1:30">
      <c r="A98" t="s">
        <v>31</v>
      </c>
      <c r="B98">
        <v>67</v>
      </c>
      <c r="C98">
        <v>69.4</v>
      </c>
      <c r="D98">
        <v>93</v>
      </c>
      <c r="E98">
        <v>77</v>
      </c>
      <c r="F98">
        <v>84.4</v>
      </c>
      <c r="H98" t="s">
        <v>189</v>
      </c>
      <c r="I98" s="20">
        <v>35.6</v>
      </c>
      <c r="J98" s="20">
        <v>42.2</v>
      </c>
      <c r="K98" s="20">
        <v>38</v>
      </c>
      <c r="L98" s="20">
        <v>28.4</v>
      </c>
      <c r="M98" s="20">
        <v>24.8</v>
      </c>
      <c r="N98" s="20">
        <v>28</v>
      </c>
      <c r="O98" s="21">
        <f t="shared" si="3"/>
        <v>32.8333333333333</v>
      </c>
      <c r="Q98">
        <v>35.6</v>
      </c>
      <c r="R98">
        <v>38</v>
      </c>
      <c r="T98">
        <v>28.4</v>
      </c>
      <c r="U98">
        <v>28</v>
      </c>
      <c r="W98">
        <v>35.6</v>
      </c>
      <c r="X98">
        <v>42.2</v>
      </c>
      <c r="Z98">
        <v>28.4</v>
      </c>
      <c r="AA98">
        <v>24.8</v>
      </c>
      <c r="AC98">
        <v>35.6</v>
      </c>
      <c r="AD98">
        <v>28.4</v>
      </c>
    </row>
    <row r="99" spans="1:30">
      <c r="A99" t="s">
        <v>32</v>
      </c>
      <c r="B99">
        <v>55.2</v>
      </c>
      <c r="C99">
        <v>75.1</v>
      </c>
      <c r="D99">
        <v>96</v>
      </c>
      <c r="E99">
        <v>79.4</v>
      </c>
      <c r="F99">
        <v>92.2</v>
      </c>
      <c r="H99" t="s">
        <v>190</v>
      </c>
      <c r="I99" s="20">
        <v>98</v>
      </c>
      <c r="J99" s="20">
        <v>96.6</v>
      </c>
      <c r="K99" s="20">
        <v>100</v>
      </c>
      <c r="L99" s="20">
        <v>97.8</v>
      </c>
      <c r="M99" s="20">
        <v>100</v>
      </c>
      <c r="N99" s="20">
        <v>100</v>
      </c>
      <c r="O99" s="21">
        <f t="shared" si="3"/>
        <v>98.7333333333333</v>
      </c>
      <c r="Q99">
        <v>98</v>
      </c>
      <c r="R99">
        <v>100</v>
      </c>
      <c r="T99">
        <v>97.8</v>
      </c>
      <c r="U99">
        <v>100</v>
      </c>
      <c r="W99">
        <v>98</v>
      </c>
      <c r="X99">
        <v>96.6</v>
      </c>
      <c r="Z99">
        <v>97.8</v>
      </c>
      <c r="AA99">
        <v>100</v>
      </c>
      <c r="AC99">
        <v>98</v>
      </c>
      <c r="AD99">
        <v>97.8</v>
      </c>
    </row>
    <row r="100" spans="1:30">
      <c r="A100" t="s">
        <v>33</v>
      </c>
      <c r="B100">
        <v>71.1</v>
      </c>
      <c r="C100">
        <v>76.1</v>
      </c>
      <c r="D100">
        <v>88.6</v>
      </c>
      <c r="E100">
        <v>63.6</v>
      </c>
      <c r="F100">
        <v>95.3</v>
      </c>
      <c r="H100" t="s">
        <v>191</v>
      </c>
      <c r="I100" s="20">
        <v>50.4</v>
      </c>
      <c r="J100" s="20">
        <v>39.4</v>
      </c>
      <c r="K100" s="20">
        <v>40.6</v>
      </c>
      <c r="L100" s="20">
        <v>55.4</v>
      </c>
      <c r="M100" s="20">
        <v>33.6</v>
      </c>
      <c r="N100" s="20">
        <v>44.6</v>
      </c>
      <c r="O100" s="21">
        <f t="shared" si="3"/>
        <v>44</v>
      </c>
      <c r="Q100">
        <v>50.4</v>
      </c>
      <c r="R100">
        <v>40.6</v>
      </c>
      <c r="T100">
        <v>55.4</v>
      </c>
      <c r="U100">
        <v>44.6</v>
      </c>
      <c r="W100">
        <v>50.4</v>
      </c>
      <c r="X100">
        <v>39.4</v>
      </c>
      <c r="Z100">
        <v>55.4</v>
      </c>
      <c r="AA100">
        <v>33.6</v>
      </c>
      <c r="AC100">
        <v>50.4</v>
      </c>
      <c r="AD100">
        <v>55.4</v>
      </c>
    </row>
    <row r="101" spans="1:30">
      <c r="A101" t="s">
        <v>34</v>
      </c>
      <c r="B101">
        <v>76.6</v>
      </c>
      <c r="C101">
        <v>83.8</v>
      </c>
      <c r="D101">
        <v>91.8</v>
      </c>
      <c r="E101">
        <v>78.2</v>
      </c>
      <c r="F101">
        <v>90.2</v>
      </c>
      <c r="H101" t="s">
        <v>192</v>
      </c>
      <c r="I101" s="20">
        <v>94.2</v>
      </c>
      <c r="J101" s="20">
        <v>96</v>
      </c>
      <c r="K101" s="20">
        <v>96</v>
      </c>
      <c r="L101" s="20">
        <v>95.8</v>
      </c>
      <c r="M101" s="20">
        <v>94.4</v>
      </c>
      <c r="N101" s="20">
        <v>97.6</v>
      </c>
      <c r="O101" s="21">
        <f t="shared" si="3"/>
        <v>95.6666666666667</v>
      </c>
      <c r="Q101">
        <v>94.2</v>
      </c>
      <c r="R101">
        <v>96</v>
      </c>
      <c r="T101">
        <v>95.8</v>
      </c>
      <c r="U101">
        <v>97.6</v>
      </c>
      <c r="W101">
        <v>94.2</v>
      </c>
      <c r="X101">
        <v>96</v>
      </c>
      <c r="Z101">
        <v>95.8</v>
      </c>
      <c r="AA101">
        <v>94.4</v>
      </c>
      <c r="AC101">
        <v>94.2</v>
      </c>
      <c r="AD101">
        <v>95.8</v>
      </c>
    </row>
    <row r="102" spans="1:30">
      <c r="A102" t="s">
        <v>35</v>
      </c>
      <c r="B102">
        <v>33</v>
      </c>
      <c r="C102">
        <v>29.8</v>
      </c>
      <c r="D102">
        <v>92</v>
      </c>
      <c r="E102">
        <v>65</v>
      </c>
      <c r="F102">
        <v>96.6</v>
      </c>
      <c r="H102" t="s">
        <v>193</v>
      </c>
      <c r="I102" s="20">
        <v>74</v>
      </c>
      <c r="J102" s="20">
        <v>62</v>
      </c>
      <c r="K102" s="20">
        <v>53.2</v>
      </c>
      <c r="L102" s="20">
        <v>45.4</v>
      </c>
      <c r="M102" s="20">
        <v>48.6</v>
      </c>
      <c r="N102" s="20">
        <v>57.6</v>
      </c>
      <c r="O102" s="21">
        <f t="shared" ref="O102:O133" si="4">AVERAGE(I102:N102)</f>
        <v>56.8</v>
      </c>
      <c r="Q102">
        <v>74</v>
      </c>
      <c r="R102">
        <v>53.2</v>
      </c>
      <c r="T102">
        <v>45.4</v>
      </c>
      <c r="U102">
        <v>57.6</v>
      </c>
      <c r="W102">
        <v>74</v>
      </c>
      <c r="X102">
        <v>62</v>
      </c>
      <c r="Z102">
        <v>45.4</v>
      </c>
      <c r="AA102">
        <v>48.6</v>
      </c>
      <c r="AC102">
        <v>74</v>
      </c>
      <c r="AD102">
        <v>45.4</v>
      </c>
    </row>
    <row r="103" spans="1:30">
      <c r="A103" t="s">
        <v>36</v>
      </c>
      <c r="B103">
        <v>67.6</v>
      </c>
      <c r="C103">
        <v>68</v>
      </c>
      <c r="D103">
        <v>85.8</v>
      </c>
      <c r="E103">
        <v>40.2</v>
      </c>
      <c r="F103">
        <v>84.2</v>
      </c>
      <c r="H103" t="s">
        <v>194</v>
      </c>
      <c r="I103" s="20">
        <v>93.2</v>
      </c>
      <c r="J103" s="20">
        <v>86.8</v>
      </c>
      <c r="K103" s="20">
        <v>84.2</v>
      </c>
      <c r="L103" s="20">
        <v>93.6</v>
      </c>
      <c r="M103" s="20">
        <v>79.2</v>
      </c>
      <c r="N103" s="20">
        <v>83.4</v>
      </c>
      <c r="O103" s="21">
        <f t="shared" si="4"/>
        <v>86.7333333333333</v>
      </c>
      <c r="Q103">
        <v>93.2</v>
      </c>
      <c r="R103">
        <v>84.2</v>
      </c>
      <c r="T103">
        <v>93.6</v>
      </c>
      <c r="U103">
        <v>83.4</v>
      </c>
      <c r="W103">
        <v>93.2</v>
      </c>
      <c r="X103">
        <v>86.8</v>
      </c>
      <c r="Z103">
        <v>93.6</v>
      </c>
      <c r="AA103">
        <v>79.2</v>
      </c>
      <c r="AC103">
        <v>93.2</v>
      </c>
      <c r="AD103">
        <v>93.6</v>
      </c>
    </row>
    <row r="104" spans="1:30">
      <c r="A104" t="s">
        <v>37</v>
      </c>
      <c r="B104">
        <v>71.8</v>
      </c>
      <c r="C104">
        <v>85</v>
      </c>
      <c r="D104">
        <v>96.8</v>
      </c>
      <c r="E104">
        <v>75.8</v>
      </c>
      <c r="F104">
        <v>94</v>
      </c>
      <c r="H104" t="s">
        <v>195</v>
      </c>
      <c r="I104" s="20">
        <v>95.2</v>
      </c>
      <c r="J104" s="20">
        <v>95.6</v>
      </c>
      <c r="K104" s="20">
        <v>91</v>
      </c>
      <c r="L104" s="20">
        <v>95</v>
      </c>
      <c r="M104" s="20">
        <v>96</v>
      </c>
      <c r="N104" s="20">
        <v>94.8</v>
      </c>
      <c r="O104" s="21">
        <f t="shared" si="4"/>
        <v>94.6</v>
      </c>
      <c r="Q104">
        <v>95.2</v>
      </c>
      <c r="R104">
        <v>91</v>
      </c>
      <c r="T104">
        <v>95</v>
      </c>
      <c r="U104">
        <v>94.8</v>
      </c>
      <c r="W104">
        <v>95.2</v>
      </c>
      <c r="X104">
        <v>95.6</v>
      </c>
      <c r="Z104">
        <v>95</v>
      </c>
      <c r="AA104">
        <v>96</v>
      </c>
      <c r="AC104">
        <v>95.2</v>
      </c>
      <c r="AD104">
        <v>95</v>
      </c>
    </row>
    <row r="105" spans="1:30">
      <c r="A105" t="s">
        <v>38</v>
      </c>
      <c r="B105">
        <v>83.8</v>
      </c>
      <c r="C105">
        <v>85.4</v>
      </c>
      <c r="D105">
        <v>97</v>
      </c>
      <c r="E105">
        <v>75.4</v>
      </c>
      <c r="F105">
        <v>95.2</v>
      </c>
      <c r="H105" t="s">
        <v>196</v>
      </c>
      <c r="I105" s="20">
        <v>93.4</v>
      </c>
      <c r="J105" s="20">
        <v>91.4</v>
      </c>
      <c r="K105" s="20">
        <v>98</v>
      </c>
      <c r="L105" s="20">
        <v>96.8</v>
      </c>
      <c r="M105" s="20">
        <v>93.8</v>
      </c>
      <c r="N105" s="20">
        <v>95.6</v>
      </c>
      <c r="O105" s="21">
        <f t="shared" si="4"/>
        <v>94.8333333333333</v>
      </c>
      <c r="Q105">
        <v>93.4</v>
      </c>
      <c r="R105">
        <v>98</v>
      </c>
      <c r="T105">
        <v>96.8</v>
      </c>
      <c r="U105">
        <v>95.6</v>
      </c>
      <c r="W105">
        <v>93.4</v>
      </c>
      <c r="X105">
        <v>91.4</v>
      </c>
      <c r="Z105">
        <v>96.8</v>
      </c>
      <c r="AA105">
        <v>93.8</v>
      </c>
      <c r="AC105">
        <v>93.4</v>
      </c>
      <c r="AD105">
        <v>96.8</v>
      </c>
    </row>
    <row r="106" spans="1:30">
      <c r="A106" t="s">
        <v>39</v>
      </c>
      <c r="B106">
        <v>36.9</v>
      </c>
      <c r="C106">
        <v>15.2</v>
      </c>
      <c r="D106">
        <v>91.4</v>
      </c>
      <c r="E106">
        <v>68.4</v>
      </c>
      <c r="F106">
        <v>96.2</v>
      </c>
      <c r="H106" t="s">
        <v>197</v>
      </c>
      <c r="I106" s="20">
        <v>95</v>
      </c>
      <c r="J106" s="20">
        <v>92.8</v>
      </c>
      <c r="K106" s="20">
        <v>96</v>
      </c>
      <c r="L106" s="20">
        <v>93.8</v>
      </c>
      <c r="M106" s="20">
        <v>97</v>
      </c>
      <c r="N106" s="20">
        <v>98</v>
      </c>
      <c r="O106" s="21">
        <f t="shared" si="4"/>
        <v>95.4333333333333</v>
      </c>
      <c r="Q106">
        <v>95</v>
      </c>
      <c r="R106">
        <v>96</v>
      </c>
      <c r="T106">
        <v>93.8</v>
      </c>
      <c r="U106">
        <v>98</v>
      </c>
      <c r="W106">
        <v>95</v>
      </c>
      <c r="X106">
        <v>92.8</v>
      </c>
      <c r="Z106">
        <v>93.8</v>
      </c>
      <c r="AA106">
        <v>97</v>
      </c>
      <c r="AC106">
        <v>95</v>
      </c>
      <c r="AD106">
        <v>93.8</v>
      </c>
    </row>
    <row r="107" spans="1:30">
      <c r="A107" t="s">
        <v>40</v>
      </c>
      <c r="B107">
        <v>26.4</v>
      </c>
      <c r="C107">
        <v>88.6</v>
      </c>
      <c r="D107">
        <v>93.4</v>
      </c>
      <c r="E107">
        <v>80.2</v>
      </c>
      <c r="F107">
        <v>88.2</v>
      </c>
      <c r="H107" t="s">
        <v>198</v>
      </c>
      <c r="I107" s="20">
        <v>94.4</v>
      </c>
      <c r="J107" s="20">
        <v>92</v>
      </c>
      <c r="K107" s="20">
        <v>92.8</v>
      </c>
      <c r="L107" s="20">
        <v>95.2</v>
      </c>
      <c r="M107" s="20">
        <v>90</v>
      </c>
      <c r="N107" s="20">
        <v>93.8</v>
      </c>
      <c r="O107" s="21">
        <f t="shared" si="4"/>
        <v>93.0333333333333</v>
      </c>
      <c r="Q107">
        <v>94.4</v>
      </c>
      <c r="R107">
        <v>92.8</v>
      </c>
      <c r="T107">
        <v>95.2</v>
      </c>
      <c r="U107">
        <v>93.8</v>
      </c>
      <c r="W107">
        <v>94.4</v>
      </c>
      <c r="X107">
        <v>92</v>
      </c>
      <c r="Z107">
        <v>95.2</v>
      </c>
      <c r="AA107">
        <v>90</v>
      </c>
      <c r="AC107">
        <v>94.4</v>
      </c>
      <c r="AD107">
        <v>95.2</v>
      </c>
    </row>
    <row r="108" spans="1:30">
      <c r="A108" t="s">
        <v>41</v>
      </c>
      <c r="B108">
        <v>76.2</v>
      </c>
      <c r="C108">
        <v>35.4</v>
      </c>
      <c r="D108">
        <v>38</v>
      </c>
      <c r="E108">
        <v>30.6</v>
      </c>
      <c r="F108">
        <v>25.2</v>
      </c>
      <c r="H108" t="s">
        <v>199</v>
      </c>
      <c r="I108" s="20">
        <v>98.4</v>
      </c>
      <c r="J108" s="20">
        <v>97.2</v>
      </c>
      <c r="K108" s="20">
        <v>95.8</v>
      </c>
      <c r="L108" s="20">
        <v>94.4</v>
      </c>
      <c r="M108" s="20">
        <v>98</v>
      </c>
      <c r="N108" s="20">
        <v>91.4</v>
      </c>
      <c r="O108" s="21">
        <f t="shared" si="4"/>
        <v>95.8666666666667</v>
      </c>
      <c r="Q108">
        <v>98.4</v>
      </c>
      <c r="R108">
        <v>95.8</v>
      </c>
      <c r="T108">
        <v>94.4</v>
      </c>
      <c r="U108">
        <v>91.4</v>
      </c>
      <c r="W108">
        <v>98.4</v>
      </c>
      <c r="X108">
        <v>97.2</v>
      </c>
      <c r="Z108">
        <v>94.4</v>
      </c>
      <c r="AA108">
        <v>98</v>
      </c>
      <c r="AC108">
        <v>98.4</v>
      </c>
      <c r="AD108">
        <v>94.4</v>
      </c>
    </row>
    <row r="109" spans="1:30">
      <c r="A109" t="s">
        <v>42</v>
      </c>
      <c r="B109">
        <v>79.8</v>
      </c>
      <c r="C109">
        <v>73.8</v>
      </c>
      <c r="D109">
        <v>100</v>
      </c>
      <c r="E109">
        <v>65.2</v>
      </c>
      <c r="F109">
        <v>88.2</v>
      </c>
      <c r="H109" t="s">
        <v>200</v>
      </c>
      <c r="I109" s="20">
        <v>94.8</v>
      </c>
      <c r="J109" s="20">
        <v>91</v>
      </c>
      <c r="K109" s="20">
        <v>94</v>
      </c>
      <c r="L109" s="20">
        <v>92.4</v>
      </c>
      <c r="M109" s="20">
        <v>93.6</v>
      </c>
      <c r="N109" s="20">
        <v>93</v>
      </c>
      <c r="O109" s="21">
        <f t="shared" si="4"/>
        <v>93.1333333333333</v>
      </c>
      <c r="Q109">
        <v>94.8</v>
      </c>
      <c r="R109">
        <v>94</v>
      </c>
      <c r="T109">
        <v>92.4</v>
      </c>
      <c r="U109">
        <v>93</v>
      </c>
      <c r="W109">
        <v>94.8</v>
      </c>
      <c r="X109">
        <v>91</v>
      </c>
      <c r="Z109">
        <v>92.4</v>
      </c>
      <c r="AA109">
        <v>93.6</v>
      </c>
      <c r="AC109">
        <v>94.8</v>
      </c>
      <c r="AD109">
        <v>92.4</v>
      </c>
    </row>
    <row r="110" spans="1:30">
      <c r="A110" t="s">
        <v>43</v>
      </c>
      <c r="B110">
        <v>56.8</v>
      </c>
      <c r="C110">
        <v>7</v>
      </c>
      <c r="D110">
        <v>40.6</v>
      </c>
      <c r="E110">
        <v>77.4</v>
      </c>
      <c r="F110">
        <v>80.6</v>
      </c>
      <c r="H110" t="s">
        <v>201</v>
      </c>
      <c r="I110" s="20">
        <v>89.4</v>
      </c>
      <c r="J110" s="20">
        <v>94.4</v>
      </c>
      <c r="K110" s="20">
        <v>96</v>
      </c>
      <c r="L110" s="20">
        <v>89.4</v>
      </c>
      <c r="M110" s="20">
        <v>87.4</v>
      </c>
      <c r="N110" s="20">
        <v>94</v>
      </c>
      <c r="O110" s="21">
        <f t="shared" si="4"/>
        <v>91.7666666666667</v>
      </c>
      <c r="Q110">
        <v>89.4</v>
      </c>
      <c r="R110">
        <v>96</v>
      </c>
      <c r="T110">
        <v>89.4</v>
      </c>
      <c r="U110">
        <v>94</v>
      </c>
      <c r="W110">
        <v>89.4</v>
      </c>
      <c r="X110">
        <v>94.4</v>
      </c>
      <c r="Z110">
        <v>89.4</v>
      </c>
      <c r="AA110">
        <v>87.4</v>
      </c>
      <c r="AC110">
        <v>89.4</v>
      </c>
      <c r="AD110">
        <v>89.4</v>
      </c>
    </row>
    <row r="111" spans="1:30">
      <c r="A111" t="s">
        <v>44</v>
      </c>
      <c r="B111">
        <v>79.2</v>
      </c>
      <c r="C111">
        <v>88</v>
      </c>
      <c r="D111">
        <v>96</v>
      </c>
      <c r="E111">
        <v>77.4</v>
      </c>
      <c r="F111">
        <v>93.2</v>
      </c>
      <c r="H111" t="s">
        <v>202</v>
      </c>
      <c r="I111" s="20">
        <v>98</v>
      </c>
      <c r="J111" s="20">
        <v>93.4</v>
      </c>
      <c r="K111" s="20">
        <v>96</v>
      </c>
      <c r="L111" s="20">
        <v>95</v>
      </c>
      <c r="M111" s="20">
        <v>99</v>
      </c>
      <c r="N111" s="20">
        <v>93</v>
      </c>
      <c r="O111" s="21">
        <f t="shared" si="4"/>
        <v>95.7333333333333</v>
      </c>
      <c r="Q111">
        <v>98</v>
      </c>
      <c r="R111">
        <v>96</v>
      </c>
      <c r="T111">
        <v>95</v>
      </c>
      <c r="U111">
        <v>93</v>
      </c>
      <c r="W111">
        <v>98</v>
      </c>
      <c r="X111">
        <v>93.4</v>
      </c>
      <c r="Z111">
        <v>95</v>
      </c>
      <c r="AA111">
        <v>99</v>
      </c>
      <c r="AC111">
        <v>98</v>
      </c>
      <c r="AD111">
        <v>95</v>
      </c>
    </row>
    <row r="112" spans="1:30">
      <c r="A112" t="s">
        <v>46</v>
      </c>
      <c r="B112">
        <v>0</v>
      </c>
      <c r="C112">
        <v>5.4</v>
      </c>
      <c r="D112">
        <v>53.2</v>
      </c>
      <c r="E112">
        <v>75.5</v>
      </c>
      <c r="F112">
        <v>87.8</v>
      </c>
      <c r="H112" t="s">
        <v>203</v>
      </c>
      <c r="I112" s="20">
        <v>95.6</v>
      </c>
      <c r="J112" s="20">
        <v>90.8</v>
      </c>
      <c r="K112" s="20">
        <v>88.4</v>
      </c>
      <c r="L112" s="20">
        <v>92.4</v>
      </c>
      <c r="M112" s="20">
        <v>92</v>
      </c>
      <c r="N112" s="20">
        <v>90.4</v>
      </c>
      <c r="O112" s="21">
        <f t="shared" si="4"/>
        <v>91.6</v>
      </c>
      <c r="Q112">
        <v>95.6</v>
      </c>
      <c r="R112">
        <v>88.4</v>
      </c>
      <c r="T112">
        <v>92.4</v>
      </c>
      <c r="U112">
        <v>90.4</v>
      </c>
      <c r="W112">
        <v>95.6</v>
      </c>
      <c r="X112">
        <v>90.8</v>
      </c>
      <c r="Z112">
        <v>92.4</v>
      </c>
      <c r="AA112">
        <v>92</v>
      </c>
      <c r="AC112">
        <v>95.6</v>
      </c>
      <c r="AD112">
        <v>92.4</v>
      </c>
    </row>
    <row r="113" spans="1:30">
      <c r="A113" t="s">
        <v>45</v>
      </c>
      <c r="B113">
        <v>27.6</v>
      </c>
      <c r="C113">
        <v>57.6</v>
      </c>
      <c r="D113">
        <v>84.2</v>
      </c>
      <c r="E113">
        <v>71.6</v>
      </c>
      <c r="F113">
        <v>91.2</v>
      </c>
      <c r="H113" t="s">
        <v>204</v>
      </c>
      <c r="I113" s="20">
        <v>67</v>
      </c>
      <c r="J113" s="20">
        <v>63.2</v>
      </c>
      <c r="K113" s="20">
        <v>85.2</v>
      </c>
      <c r="L113" s="20">
        <v>69.6</v>
      </c>
      <c r="M113" s="20">
        <v>63.8</v>
      </c>
      <c r="N113" s="20">
        <v>65.4</v>
      </c>
      <c r="O113" s="21">
        <f t="shared" si="4"/>
        <v>69.0333333333333</v>
      </c>
      <c r="Q113">
        <v>67</v>
      </c>
      <c r="R113">
        <v>85.2</v>
      </c>
      <c r="T113">
        <v>69.6</v>
      </c>
      <c r="U113">
        <v>65.4</v>
      </c>
      <c r="W113">
        <v>67</v>
      </c>
      <c r="X113">
        <v>63.2</v>
      </c>
      <c r="Z113">
        <v>69.6</v>
      </c>
      <c r="AA113">
        <v>63.8</v>
      </c>
      <c r="AC113">
        <v>67</v>
      </c>
      <c r="AD113">
        <v>69.6</v>
      </c>
    </row>
    <row r="114" spans="1:30">
      <c r="A114" t="s">
        <v>47</v>
      </c>
      <c r="B114">
        <v>25.4</v>
      </c>
      <c r="C114">
        <v>30</v>
      </c>
      <c r="D114">
        <v>91</v>
      </c>
      <c r="E114">
        <v>77.2</v>
      </c>
      <c r="F114">
        <v>90.8</v>
      </c>
      <c r="H114" t="s">
        <v>205</v>
      </c>
      <c r="I114" s="20">
        <v>81.2</v>
      </c>
      <c r="J114" s="20">
        <v>73.6</v>
      </c>
      <c r="K114" s="20">
        <v>70.2</v>
      </c>
      <c r="L114" s="20">
        <v>63.4</v>
      </c>
      <c r="M114" s="20">
        <v>70.2</v>
      </c>
      <c r="N114" s="20">
        <v>60.4</v>
      </c>
      <c r="O114" s="21">
        <f t="shared" si="4"/>
        <v>69.8333333333333</v>
      </c>
      <c r="Q114">
        <v>81.2</v>
      </c>
      <c r="R114">
        <v>70.2</v>
      </c>
      <c r="T114">
        <v>63.4</v>
      </c>
      <c r="U114">
        <v>60.4</v>
      </c>
      <c r="W114">
        <v>81.2</v>
      </c>
      <c r="X114">
        <v>73.6</v>
      </c>
      <c r="Z114">
        <v>63.4</v>
      </c>
      <c r="AA114">
        <v>70.2</v>
      </c>
      <c r="AC114">
        <v>81.2</v>
      </c>
      <c r="AD114">
        <v>63.4</v>
      </c>
    </row>
    <row r="115" spans="1:30">
      <c r="A115" t="s">
        <v>48</v>
      </c>
      <c r="B115">
        <v>49.4</v>
      </c>
      <c r="C115">
        <v>79.4</v>
      </c>
      <c r="D115">
        <v>98</v>
      </c>
      <c r="E115">
        <v>68.4</v>
      </c>
      <c r="F115">
        <v>86.8</v>
      </c>
      <c r="H115" t="s">
        <v>206</v>
      </c>
      <c r="I115" s="20">
        <v>34.8</v>
      </c>
      <c r="J115" s="20">
        <v>33.8</v>
      </c>
      <c r="K115" s="20">
        <v>36.8</v>
      </c>
      <c r="L115" s="20">
        <v>68.4</v>
      </c>
      <c r="M115" s="20">
        <v>39.4</v>
      </c>
      <c r="N115" s="20">
        <v>30.3</v>
      </c>
      <c r="O115" s="21">
        <f t="shared" si="4"/>
        <v>40.5833333333333</v>
      </c>
      <c r="Q115">
        <v>34.8</v>
      </c>
      <c r="R115">
        <v>36.8</v>
      </c>
      <c r="T115">
        <v>68.4</v>
      </c>
      <c r="U115">
        <v>30.3</v>
      </c>
      <c r="W115">
        <v>34.8</v>
      </c>
      <c r="X115">
        <v>33.8</v>
      </c>
      <c r="Z115">
        <v>68.4</v>
      </c>
      <c r="AA115">
        <v>39.4</v>
      </c>
      <c r="AC115">
        <v>34.8</v>
      </c>
      <c r="AD115">
        <v>68.4</v>
      </c>
    </row>
    <row r="116" spans="1:30">
      <c r="A116" t="s">
        <v>49</v>
      </c>
      <c r="B116">
        <v>69</v>
      </c>
      <c r="C116">
        <v>75.6</v>
      </c>
      <c r="D116">
        <v>96</v>
      </c>
      <c r="E116">
        <v>55.5</v>
      </c>
      <c r="F116">
        <v>95.6</v>
      </c>
      <c r="H116" t="s">
        <v>207</v>
      </c>
      <c r="I116" s="20">
        <v>72</v>
      </c>
      <c r="J116" s="20">
        <v>78.8</v>
      </c>
      <c r="K116" s="20">
        <v>77.2</v>
      </c>
      <c r="L116" s="20">
        <v>40.6</v>
      </c>
      <c r="M116" s="20">
        <v>62.6</v>
      </c>
      <c r="N116" s="20">
        <v>58.2</v>
      </c>
      <c r="O116" s="21">
        <f t="shared" si="4"/>
        <v>64.9</v>
      </c>
      <c r="Q116">
        <v>72</v>
      </c>
      <c r="R116">
        <v>77.2</v>
      </c>
      <c r="T116">
        <v>40.6</v>
      </c>
      <c r="U116">
        <v>58.2</v>
      </c>
      <c r="W116">
        <v>72</v>
      </c>
      <c r="X116">
        <v>78.8</v>
      </c>
      <c r="Z116">
        <v>40.6</v>
      </c>
      <c r="AA116">
        <v>62.6</v>
      </c>
      <c r="AC116">
        <v>72</v>
      </c>
      <c r="AD116">
        <v>40.6</v>
      </c>
    </row>
    <row r="117" spans="1:30">
      <c r="A117" t="s">
        <v>50</v>
      </c>
      <c r="B117">
        <v>74.4</v>
      </c>
      <c r="C117">
        <v>81.8</v>
      </c>
      <c r="D117">
        <v>92.8</v>
      </c>
      <c r="E117">
        <v>84.1</v>
      </c>
      <c r="F117">
        <v>81.2</v>
      </c>
      <c r="H117" t="s">
        <v>208</v>
      </c>
      <c r="I117" s="20">
        <v>75.6</v>
      </c>
      <c r="J117" s="20">
        <v>80.2</v>
      </c>
      <c r="K117" s="20">
        <v>75.8</v>
      </c>
      <c r="L117" s="20">
        <v>77.8</v>
      </c>
      <c r="M117" s="20">
        <v>68.8</v>
      </c>
      <c r="N117" s="20">
        <v>53</v>
      </c>
      <c r="O117" s="21">
        <f t="shared" si="4"/>
        <v>71.8666666666667</v>
      </c>
      <c r="Q117">
        <v>75.6</v>
      </c>
      <c r="R117">
        <v>75.8</v>
      </c>
      <c r="T117">
        <v>77.8</v>
      </c>
      <c r="U117">
        <v>53</v>
      </c>
      <c r="W117">
        <v>75.6</v>
      </c>
      <c r="X117">
        <v>80.2</v>
      </c>
      <c r="Z117">
        <v>77.8</v>
      </c>
      <c r="AA117">
        <v>68.8</v>
      </c>
      <c r="AC117">
        <v>75.6</v>
      </c>
      <c r="AD117">
        <v>77.8</v>
      </c>
    </row>
    <row r="118" spans="1:30">
      <c r="A118" t="s">
        <v>51</v>
      </c>
      <c r="B118">
        <v>84.6</v>
      </c>
      <c r="C118">
        <v>79</v>
      </c>
      <c r="D118">
        <v>95.8</v>
      </c>
      <c r="E118">
        <v>91.5</v>
      </c>
      <c r="F118">
        <v>95.8</v>
      </c>
      <c r="H118" t="s">
        <v>209</v>
      </c>
      <c r="I118" s="20">
        <v>85.9</v>
      </c>
      <c r="J118" s="20">
        <v>71.8</v>
      </c>
      <c r="K118" s="20">
        <v>83.8</v>
      </c>
      <c r="L118" s="20">
        <v>70.4</v>
      </c>
      <c r="M118" s="20">
        <v>58.4</v>
      </c>
      <c r="N118" s="20">
        <v>67.9</v>
      </c>
      <c r="O118" s="21">
        <f t="shared" si="4"/>
        <v>73.0333333333333</v>
      </c>
      <c r="Q118">
        <v>85.9</v>
      </c>
      <c r="R118">
        <v>83.8</v>
      </c>
      <c r="T118">
        <v>70.4</v>
      </c>
      <c r="U118">
        <v>67.9</v>
      </c>
      <c r="W118">
        <v>85.9</v>
      </c>
      <c r="X118">
        <v>71.8</v>
      </c>
      <c r="Z118">
        <v>70.4</v>
      </c>
      <c r="AA118">
        <v>58.4</v>
      </c>
      <c r="AC118">
        <v>85.9</v>
      </c>
      <c r="AD118">
        <v>70.4</v>
      </c>
    </row>
    <row r="119" spans="1:30">
      <c r="A119" t="s">
        <v>54</v>
      </c>
      <c r="B119">
        <v>0</v>
      </c>
      <c r="C119">
        <v>76.5</v>
      </c>
      <c r="D119">
        <v>94</v>
      </c>
      <c r="E119">
        <v>78</v>
      </c>
      <c r="F119">
        <v>88.2</v>
      </c>
      <c r="H119" t="s">
        <v>210</v>
      </c>
      <c r="I119" s="20">
        <v>77.6</v>
      </c>
      <c r="J119" s="20">
        <v>84.6</v>
      </c>
      <c r="K119" s="20">
        <v>79.8</v>
      </c>
      <c r="L119" s="20">
        <v>71.4</v>
      </c>
      <c r="M119" s="20">
        <v>77.8</v>
      </c>
      <c r="N119" s="20">
        <v>79.2</v>
      </c>
      <c r="O119" s="21">
        <f t="shared" si="4"/>
        <v>78.4</v>
      </c>
      <c r="Q119">
        <v>77.6</v>
      </c>
      <c r="R119">
        <v>79.8</v>
      </c>
      <c r="T119">
        <v>71.4</v>
      </c>
      <c r="U119">
        <v>79.2</v>
      </c>
      <c r="W119">
        <v>77.6</v>
      </c>
      <c r="X119">
        <v>84.6</v>
      </c>
      <c r="Z119">
        <v>71.4</v>
      </c>
      <c r="AA119">
        <v>77.8</v>
      </c>
      <c r="AC119">
        <v>77.6</v>
      </c>
      <c r="AD119">
        <v>71.4</v>
      </c>
    </row>
    <row r="120" spans="1:30">
      <c r="A120" t="s">
        <v>52</v>
      </c>
      <c r="B120">
        <v>25.6</v>
      </c>
      <c r="C120">
        <v>69.4</v>
      </c>
      <c r="D120">
        <v>96</v>
      </c>
      <c r="E120">
        <v>50.2</v>
      </c>
      <c r="F120">
        <v>92.2</v>
      </c>
      <c r="H120" t="s">
        <v>211</v>
      </c>
      <c r="I120" s="20">
        <v>70.2</v>
      </c>
      <c r="J120" s="20">
        <v>70.8</v>
      </c>
      <c r="K120" s="20">
        <v>72.6</v>
      </c>
      <c r="L120" s="20">
        <v>18.7</v>
      </c>
      <c r="M120" s="20">
        <v>77.8</v>
      </c>
      <c r="N120" s="20">
        <v>69</v>
      </c>
      <c r="O120" s="21">
        <f t="shared" si="4"/>
        <v>63.1833333333333</v>
      </c>
      <c r="Q120">
        <v>70.2</v>
      </c>
      <c r="R120">
        <v>72.6</v>
      </c>
      <c r="T120">
        <v>18.7</v>
      </c>
      <c r="U120">
        <v>69</v>
      </c>
      <c r="W120">
        <v>70.2</v>
      </c>
      <c r="X120">
        <v>70.8</v>
      </c>
      <c r="Z120">
        <v>18.7</v>
      </c>
      <c r="AA120">
        <v>77.8</v>
      </c>
      <c r="AC120">
        <v>70.2</v>
      </c>
      <c r="AD120">
        <v>18.7</v>
      </c>
    </row>
    <row r="121" spans="1:30">
      <c r="A121" t="s">
        <v>53</v>
      </c>
      <c r="B121">
        <v>77.4</v>
      </c>
      <c r="C121">
        <v>85.8</v>
      </c>
      <c r="D121">
        <v>96</v>
      </c>
      <c r="E121">
        <v>81</v>
      </c>
      <c r="F121">
        <v>99.2</v>
      </c>
      <c r="H121" t="s">
        <v>212</v>
      </c>
      <c r="I121" s="20">
        <v>81</v>
      </c>
      <c r="J121" s="20">
        <v>81.8</v>
      </c>
      <c r="K121" s="20">
        <v>77</v>
      </c>
      <c r="L121" s="20">
        <v>46.6</v>
      </c>
      <c r="M121" s="20">
        <v>77</v>
      </c>
      <c r="N121" s="20">
        <v>72.2</v>
      </c>
      <c r="O121" s="21">
        <f t="shared" si="4"/>
        <v>72.6</v>
      </c>
      <c r="Q121">
        <v>81</v>
      </c>
      <c r="R121">
        <v>77</v>
      </c>
      <c r="T121">
        <v>46.6</v>
      </c>
      <c r="U121">
        <v>72.2</v>
      </c>
      <c r="W121">
        <v>81</v>
      </c>
      <c r="X121">
        <v>81.8</v>
      </c>
      <c r="Z121">
        <v>46.6</v>
      </c>
      <c r="AA121">
        <v>77</v>
      </c>
      <c r="AC121">
        <v>81</v>
      </c>
      <c r="AD121">
        <v>46.6</v>
      </c>
    </row>
    <row r="122" spans="1:30">
      <c r="A122" t="s">
        <v>55</v>
      </c>
      <c r="B122">
        <v>79</v>
      </c>
      <c r="C122">
        <v>66</v>
      </c>
      <c r="D122">
        <v>88.4</v>
      </c>
      <c r="E122">
        <v>68.2</v>
      </c>
      <c r="F122">
        <v>82.6</v>
      </c>
      <c r="H122" t="s">
        <v>213</v>
      </c>
      <c r="I122" s="20">
        <v>23.6</v>
      </c>
      <c r="J122" s="20">
        <v>5.4</v>
      </c>
      <c r="K122" s="20">
        <v>14</v>
      </c>
      <c r="L122" s="20">
        <v>80.7</v>
      </c>
      <c r="M122" s="20">
        <v>8.8</v>
      </c>
      <c r="N122" s="20">
        <v>13.4</v>
      </c>
      <c r="O122" s="21">
        <f t="shared" si="4"/>
        <v>24.3166666666667</v>
      </c>
      <c r="Q122">
        <v>23.6</v>
      </c>
      <c r="R122">
        <v>14</v>
      </c>
      <c r="T122">
        <v>80.7</v>
      </c>
      <c r="U122">
        <v>13.4</v>
      </c>
      <c r="W122">
        <v>23.6</v>
      </c>
      <c r="X122">
        <v>5.4</v>
      </c>
      <c r="Z122">
        <v>80.7</v>
      </c>
      <c r="AA122">
        <v>8.8</v>
      </c>
      <c r="AC122">
        <v>23.6</v>
      </c>
      <c r="AD122">
        <v>80.7</v>
      </c>
    </row>
    <row r="123" spans="1:30">
      <c r="A123" s="2" t="s">
        <v>447</v>
      </c>
      <c r="B123" s="2" t="s">
        <v>346</v>
      </c>
      <c r="C123" s="2" t="s">
        <v>347</v>
      </c>
      <c r="D123" s="2" t="s">
        <v>348</v>
      </c>
      <c r="E123" s="2" t="s">
        <v>349</v>
      </c>
      <c r="F123" s="2" t="s">
        <v>350</v>
      </c>
      <c r="H123" t="s">
        <v>214</v>
      </c>
      <c r="I123" s="20">
        <v>78.8</v>
      </c>
      <c r="J123" s="20">
        <v>86.2</v>
      </c>
      <c r="K123" s="20">
        <v>83.4</v>
      </c>
      <c r="L123" s="20">
        <v>63.2</v>
      </c>
      <c r="M123" s="20">
        <v>64.2</v>
      </c>
      <c r="N123" s="20">
        <v>78.4</v>
      </c>
      <c r="O123" s="21">
        <f t="shared" si="4"/>
        <v>75.7</v>
      </c>
      <c r="Q123">
        <v>78.8</v>
      </c>
      <c r="R123">
        <v>83.4</v>
      </c>
      <c r="T123">
        <v>63.2</v>
      </c>
      <c r="U123">
        <v>78.4</v>
      </c>
      <c r="W123">
        <v>78.8</v>
      </c>
      <c r="X123">
        <v>86.2</v>
      </c>
      <c r="Z123">
        <v>63.2</v>
      </c>
      <c r="AA123">
        <v>64.2</v>
      </c>
      <c r="AC123">
        <v>78.8</v>
      </c>
      <c r="AD123">
        <v>63.2</v>
      </c>
    </row>
    <row r="124" spans="1:30">
      <c r="A124" t="s">
        <v>20</v>
      </c>
      <c r="B124">
        <v>39.1</v>
      </c>
      <c r="C124">
        <v>79.6</v>
      </c>
      <c r="D124">
        <v>92</v>
      </c>
      <c r="E124">
        <v>69.6</v>
      </c>
      <c r="F124">
        <v>87.2</v>
      </c>
      <c r="H124" t="s">
        <v>215</v>
      </c>
      <c r="I124" s="20">
        <v>74.7</v>
      </c>
      <c r="J124" s="20">
        <v>81.2</v>
      </c>
      <c r="K124" s="20">
        <v>77</v>
      </c>
      <c r="L124" s="20">
        <v>57.8</v>
      </c>
      <c r="M124" s="20">
        <v>81.6</v>
      </c>
      <c r="N124" s="20">
        <v>73.4</v>
      </c>
      <c r="O124" s="21">
        <f t="shared" si="4"/>
        <v>74.2833333333333</v>
      </c>
      <c r="Q124">
        <v>74.7</v>
      </c>
      <c r="R124">
        <v>77</v>
      </c>
      <c r="T124">
        <v>57.8</v>
      </c>
      <c r="U124">
        <v>73.4</v>
      </c>
      <c r="W124">
        <v>74.7</v>
      </c>
      <c r="X124">
        <v>81.2</v>
      </c>
      <c r="Z124">
        <v>57.8</v>
      </c>
      <c r="AA124">
        <v>81.6</v>
      </c>
      <c r="AC124">
        <v>74.7</v>
      </c>
      <c r="AD124">
        <v>57.8</v>
      </c>
    </row>
    <row r="125" spans="1:30">
      <c r="A125" t="s">
        <v>21</v>
      </c>
      <c r="B125">
        <v>30</v>
      </c>
      <c r="C125">
        <v>73</v>
      </c>
      <c r="D125">
        <v>93.6</v>
      </c>
      <c r="E125">
        <v>63.4</v>
      </c>
      <c r="F125">
        <v>85</v>
      </c>
      <c r="H125" t="s">
        <v>216</v>
      </c>
      <c r="I125" s="20">
        <v>66.6</v>
      </c>
      <c r="J125" s="20">
        <v>80</v>
      </c>
      <c r="K125" s="20">
        <v>79.4</v>
      </c>
      <c r="L125" s="20">
        <v>62</v>
      </c>
      <c r="M125" s="20">
        <v>78.2</v>
      </c>
      <c r="N125" s="20">
        <v>57.4</v>
      </c>
      <c r="O125" s="21">
        <f t="shared" si="4"/>
        <v>70.6</v>
      </c>
      <c r="Q125">
        <v>66.6</v>
      </c>
      <c r="R125">
        <v>79.4</v>
      </c>
      <c r="T125">
        <v>62</v>
      </c>
      <c r="U125">
        <v>57.4</v>
      </c>
      <c r="W125">
        <v>66.6</v>
      </c>
      <c r="X125">
        <v>80</v>
      </c>
      <c r="Z125">
        <v>62</v>
      </c>
      <c r="AA125">
        <v>78.2</v>
      </c>
      <c r="AC125">
        <v>66.6</v>
      </c>
      <c r="AD125">
        <v>62</v>
      </c>
    </row>
    <row r="126" spans="1:30">
      <c r="A126" t="s">
        <v>22</v>
      </c>
      <c r="B126">
        <v>69.4</v>
      </c>
      <c r="C126">
        <v>39.2</v>
      </c>
      <c r="D126">
        <v>73</v>
      </c>
      <c r="E126">
        <v>68.4</v>
      </c>
      <c r="F126">
        <v>75.2</v>
      </c>
      <c r="H126" t="s">
        <v>217</v>
      </c>
      <c r="I126" s="20">
        <v>70</v>
      </c>
      <c r="J126" s="20">
        <v>79.3</v>
      </c>
      <c r="K126" s="20">
        <v>63.6</v>
      </c>
      <c r="L126" s="20">
        <v>67</v>
      </c>
      <c r="M126" s="20">
        <v>68.6</v>
      </c>
      <c r="N126" s="20">
        <v>61</v>
      </c>
      <c r="O126" s="21">
        <f t="shared" si="4"/>
        <v>68.25</v>
      </c>
      <c r="Q126">
        <v>70</v>
      </c>
      <c r="R126">
        <v>63.6</v>
      </c>
      <c r="T126">
        <v>67</v>
      </c>
      <c r="U126">
        <v>61</v>
      </c>
      <c r="W126">
        <v>70</v>
      </c>
      <c r="X126">
        <v>79.3</v>
      </c>
      <c r="Z126">
        <v>67</v>
      </c>
      <c r="AA126">
        <v>68.6</v>
      </c>
      <c r="AC126">
        <v>70</v>
      </c>
      <c r="AD126">
        <v>67</v>
      </c>
    </row>
    <row r="127" spans="1:30">
      <c r="A127" t="s">
        <v>23</v>
      </c>
      <c r="B127">
        <v>74.8</v>
      </c>
      <c r="C127">
        <v>42.5</v>
      </c>
      <c r="D127">
        <v>21.4</v>
      </c>
      <c r="E127">
        <v>40.6</v>
      </c>
      <c r="F127">
        <v>76.6</v>
      </c>
      <c r="H127" t="s">
        <v>218</v>
      </c>
      <c r="I127" s="20">
        <v>66</v>
      </c>
      <c r="J127" s="20">
        <v>69.2</v>
      </c>
      <c r="K127" s="20">
        <v>78.2</v>
      </c>
      <c r="L127" s="20">
        <v>26.2</v>
      </c>
      <c r="M127" s="20">
        <v>45.2</v>
      </c>
      <c r="N127" s="20">
        <v>54.2</v>
      </c>
      <c r="O127" s="21">
        <f t="shared" si="4"/>
        <v>56.5</v>
      </c>
      <c r="Q127">
        <v>66</v>
      </c>
      <c r="R127">
        <v>78.2</v>
      </c>
      <c r="T127">
        <v>26.2</v>
      </c>
      <c r="U127">
        <v>54.2</v>
      </c>
      <c r="W127">
        <v>66</v>
      </c>
      <c r="X127">
        <v>69.2</v>
      </c>
      <c r="Z127">
        <v>26.2</v>
      </c>
      <c r="AA127">
        <v>45.2</v>
      </c>
      <c r="AC127">
        <v>66</v>
      </c>
      <c r="AD127">
        <v>26.2</v>
      </c>
    </row>
    <row r="128" spans="1:30">
      <c r="A128" t="s">
        <v>24</v>
      </c>
      <c r="B128">
        <v>78.2</v>
      </c>
      <c r="C128">
        <v>76.8</v>
      </c>
      <c r="D128">
        <v>98</v>
      </c>
      <c r="E128">
        <v>77.8</v>
      </c>
      <c r="F128">
        <v>64.7</v>
      </c>
      <c r="H128" t="s">
        <v>219</v>
      </c>
      <c r="I128" s="20">
        <v>67.4</v>
      </c>
      <c r="J128" s="20">
        <v>62.4</v>
      </c>
      <c r="K128" s="20">
        <v>65</v>
      </c>
      <c r="L128" s="20">
        <v>67.6</v>
      </c>
      <c r="M128" s="20">
        <v>70.3</v>
      </c>
      <c r="N128" s="20">
        <v>43.8</v>
      </c>
      <c r="O128" s="21">
        <f t="shared" si="4"/>
        <v>62.75</v>
      </c>
      <c r="Q128">
        <v>67.4</v>
      </c>
      <c r="R128">
        <v>65</v>
      </c>
      <c r="T128">
        <v>67.6</v>
      </c>
      <c r="U128">
        <v>43.8</v>
      </c>
      <c r="W128">
        <v>67.4</v>
      </c>
      <c r="X128">
        <v>62.4</v>
      </c>
      <c r="Z128">
        <v>67.6</v>
      </c>
      <c r="AA128">
        <v>70.3</v>
      </c>
      <c r="AC128">
        <v>67.4</v>
      </c>
      <c r="AD128">
        <v>67.6</v>
      </c>
    </row>
    <row r="129" spans="1:30">
      <c r="A129" t="s">
        <v>25</v>
      </c>
      <c r="B129">
        <v>62.5</v>
      </c>
      <c r="C129">
        <v>74.2</v>
      </c>
      <c r="D129">
        <v>95.2</v>
      </c>
      <c r="E129">
        <v>70.4</v>
      </c>
      <c r="F129">
        <v>95</v>
      </c>
      <c r="H129" t="s">
        <v>220</v>
      </c>
      <c r="I129" s="20">
        <v>39.2</v>
      </c>
      <c r="J129" s="20">
        <v>39.4</v>
      </c>
      <c r="K129" s="20">
        <v>40.2</v>
      </c>
      <c r="L129" s="20">
        <v>57.2</v>
      </c>
      <c r="M129" s="20">
        <v>25</v>
      </c>
      <c r="N129" s="20">
        <v>30.8</v>
      </c>
      <c r="O129" s="21">
        <f t="shared" si="4"/>
        <v>38.6333333333333</v>
      </c>
      <c r="Q129">
        <v>39.2</v>
      </c>
      <c r="R129">
        <v>40.2</v>
      </c>
      <c r="T129">
        <v>57.2</v>
      </c>
      <c r="U129">
        <v>30.8</v>
      </c>
      <c r="W129">
        <v>39.2</v>
      </c>
      <c r="X129">
        <v>39.4</v>
      </c>
      <c r="Z129">
        <v>57.2</v>
      </c>
      <c r="AA129">
        <v>25</v>
      </c>
      <c r="AC129">
        <v>39.2</v>
      </c>
      <c r="AD129">
        <v>57.2</v>
      </c>
    </row>
    <row r="130" spans="1:30">
      <c r="A130" t="s">
        <v>26</v>
      </c>
      <c r="B130">
        <v>50.5</v>
      </c>
      <c r="C130">
        <v>79.4</v>
      </c>
      <c r="D130">
        <v>95.6</v>
      </c>
      <c r="E130">
        <v>71.4</v>
      </c>
      <c r="F130">
        <v>77.4</v>
      </c>
      <c r="H130" t="s">
        <v>221</v>
      </c>
      <c r="I130" s="20">
        <v>77</v>
      </c>
      <c r="J130" s="20">
        <v>73</v>
      </c>
      <c r="K130" s="20">
        <v>75.8</v>
      </c>
      <c r="L130" s="20">
        <v>61.8</v>
      </c>
      <c r="M130" s="20">
        <v>55</v>
      </c>
      <c r="N130" s="20">
        <v>59</v>
      </c>
      <c r="O130" s="21">
        <f t="shared" si="4"/>
        <v>66.9333333333333</v>
      </c>
      <c r="Q130">
        <v>77</v>
      </c>
      <c r="R130">
        <v>75.8</v>
      </c>
      <c r="T130">
        <v>61.8</v>
      </c>
      <c r="U130">
        <v>59</v>
      </c>
      <c r="W130">
        <v>77</v>
      </c>
      <c r="X130">
        <v>73</v>
      </c>
      <c r="Z130">
        <v>61.8</v>
      </c>
      <c r="AA130">
        <v>55</v>
      </c>
      <c r="AC130">
        <v>77</v>
      </c>
      <c r="AD130">
        <v>61.8</v>
      </c>
    </row>
    <row r="131" spans="1:30">
      <c r="A131" t="s">
        <v>27</v>
      </c>
      <c r="B131">
        <v>72</v>
      </c>
      <c r="C131">
        <v>73.4</v>
      </c>
      <c r="D131">
        <v>93</v>
      </c>
      <c r="E131">
        <v>18.7</v>
      </c>
      <c r="F131">
        <v>91.4</v>
      </c>
      <c r="H131" t="s">
        <v>222</v>
      </c>
      <c r="I131" s="20">
        <v>78.1</v>
      </c>
      <c r="J131" s="20">
        <v>86.2</v>
      </c>
      <c r="K131" s="20">
        <v>75.4</v>
      </c>
      <c r="L131" s="20">
        <v>78</v>
      </c>
      <c r="M131" s="20">
        <v>70.2</v>
      </c>
      <c r="N131" s="20">
        <v>66.8</v>
      </c>
      <c r="O131" s="21">
        <f t="shared" si="4"/>
        <v>75.7833333333333</v>
      </c>
      <c r="Q131">
        <v>78.1</v>
      </c>
      <c r="R131">
        <v>75.4</v>
      </c>
      <c r="T131">
        <v>78</v>
      </c>
      <c r="U131">
        <v>66.8</v>
      </c>
      <c r="W131">
        <v>78.1</v>
      </c>
      <c r="X131">
        <v>86.2</v>
      </c>
      <c r="Z131">
        <v>78</v>
      </c>
      <c r="AA131">
        <v>70.2</v>
      </c>
      <c r="AC131">
        <v>78.1</v>
      </c>
      <c r="AD131">
        <v>78</v>
      </c>
    </row>
    <row r="132" spans="1:30">
      <c r="A132" t="s">
        <v>28</v>
      </c>
      <c r="B132">
        <v>71.2</v>
      </c>
      <c r="C132">
        <v>76.3</v>
      </c>
      <c r="D132">
        <v>96.8</v>
      </c>
      <c r="E132">
        <v>46.6</v>
      </c>
      <c r="F132">
        <v>87.2</v>
      </c>
      <c r="H132" t="s">
        <v>223</v>
      </c>
      <c r="I132" s="20">
        <v>79</v>
      </c>
      <c r="J132" s="20">
        <v>69.4</v>
      </c>
      <c r="K132" s="20">
        <v>68.4</v>
      </c>
      <c r="L132" s="20">
        <v>26</v>
      </c>
      <c r="M132" s="20">
        <v>46.6</v>
      </c>
      <c r="N132" s="20">
        <v>60.8</v>
      </c>
      <c r="O132" s="21">
        <f t="shared" si="4"/>
        <v>58.3666666666667</v>
      </c>
      <c r="Q132">
        <v>79</v>
      </c>
      <c r="R132">
        <v>68.4</v>
      </c>
      <c r="T132">
        <v>26</v>
      </c>
      <c r="U132">
        <v>60.8</v>
      </c>
      <c r="W132">
        <v>79</v>
      </c>
      <c r="X132">
        <v>69.4</v>
      </c>
      <c r="Z132">
        <v>26</v>
      </c>
      <c r="AA132">
        <v>46.6</v>
      </c>
      <c r="AC132">
        <v>79</v>
      </c>
      <c r="AD132">
        <v>26</v>
      </c>
    </row>
    <row r="133" spans="1:30">
      <c r="A133" t="s">
        <v>29</v>
      </c>
      <c r="B133">
        <v>0</v>
      </c>
      <c r="C133">
        <v>62.7</v>
      </c>
      <c r="D133">
        <v>40</v>
      </c>
      <c r="E133">
        <v>80.7</v>
      </c>
      <c r="F133">
        <v>79.2</v>
      </c>
      <c r="H133" t="s">
        <v>224</v>
      </c>
      <c r="I133" s="20">
        <v>79.6</v>
      </c>
      <c r="J133" s="20">
        <v>78.2</v>
      </c>
      <c r="K133" s="20">
        <v>80.2</v>
      </c>
      <c r="L133" s="20">
        <v>57.6</v>
      </c>
      <c r="M133" s="20">
        <v>61</v>
      </c>
      <c r="N133" s="20">
        <v>73.8</v>
      </c>
      <c r="O133" s="21">
        <f t="shared" si="4"/>
        <v>71.7333333333333</v>
      </c>
      <c r="Q133">
        <v>79.6</v>
      </c>
      <c r="R133">
        <v>80.2</v>
      </c>
      <c r="T133">
        <v>57.6</v>
      </c>
      <c r="U133">
        <v>73.8</v>
      </c>
      <c r="W133">
        <v>79.6</v>
      </c>
      <c r="X133">
        <v>78.2</v>
      </c>
      <c r="Z133">
        <v>57.6</v>
      </c>
      <c r="AA133">
        <v>61</v>
      </c>
      <c r="AC133">
        <v>79.6</v>
      </c>
      <c r="AD133">
        <v>57.6</v>
      </c>
    </row>
    <row r="134" spans="1:30">
      <c r="A134" t="s">
        <v>30</v>
      </c>
      <c r="B134">
        <v>75.5</v>
      </c>
      <c r="C134">
        <v>71.2</v>
      </c>
      <c r="D134">
        <v>95.2</v>
      </c>
      <c r="E134">
        <v>63.2</v>
      </c>
      <c r="F134">
        <v>85.8</v>
      </c>
      <c r="H134" t="s">
        <v>225</v>
      </c>
      <c r="I134" s="20">
        <v>49.4</v>
      </c>
      <c r="J134" s="20">
        <v>51.2</v>
      </c>
      <c r="K134" s="20">
        <v>30.6</v>
      </c>
      <c r="L134" s="20">
        <v>57.6</v>
      </c>
      <c r="M134" s="20">
        <v>14</v>
      </c>
      <c r="N134" s="20">
        <v>36</v>
      </c>
      <c r="O134" s="21">
        <f t="shared" ref="O134:O165" si="5">AVERAGE(I134:N134)</f>
        <v>39.8</v>
      </c>
      <c r="Q134">
        <v>49.4</v>
      </c>
      <c r="R134">
        <v>30.6</v>
      </c>
      <c r="T134">
        <v>57.6</v>
      </c>
      <c r="U134">
        <v>36</v>
      </c>
      <c r="W134">
        <v>49.4</v>
      </c>
      <c r="X134">
        <v>51.2</v>
      </c>
      <c r="Z134">
        <v>57.6</v>
      </c>
      <c r="AA134">
        <v>14</v>
      </c>
      <c r="AC134">
        <v>49.4</v>
      </c>
      <c r="AD134">
        <v>57.6</v>
      </c>
    </row>
    <row r="135" spans="1:30">
      <c r="A135" t="s">
        <v>31</v>
      </c>
      <c r="B135">
        <v>66.2</v>
      </c>
      <c r="C135">
        <v>63.8</v>
      </c>
      <c r="D135">
        <v>94.4</v>
      </c>
      <c r="E135">
        <v>57.8</v>
      </c>
      <c r="F135">
        <v>53</v>
      </c>
      <c r="H135" t="s">
        <v>226</v>
      </c>
      <c r="I135" s="20">
        <v>68</v>
      </c>
      <c r="J135" s="20">
        <v>78.2</v>
      </c>
      <c r="K135" s="20">
        <v>65.2</v>
      </c>
      <c r="L135" s="20">
        <v>68.6</v>
      </c>
      <c r="M135" s="20">
        <v>54.4</v>
      </c>
      <c r="N135" s="20">
        <v>67.2</v>
      </c>
      <c r="O135" s="21">
        <f t="shared" si="5"/>
        <v>66.9333333333333</v>
      </c>
      <c r="Q135">
        <v>68</v>
      </c>
      <c r="R135">
        <v>65.2</v>
      </c>
      <c r="T135">
        <v>68.6</v>
      </c>
      <c r="U135">
        <v>67.2</v>
      </c>
      <c r="W135">
        <v>68</v>
      </c>
      <c r="X135">
        <v>78.2</v>
      </c>
      <c r="Z135">
        <v>68.6</v>
      </c>
      <c r="AA135">
        <v>54.4</v>
      </c>
      <c r="AC135">
        <v>68</v>
      </c>
      <c r="AD135">
        <v>68.6</v>
      </c>
    </row>
    <row r="136" spans="1:30">
      <c r="A136" t="s">
        <v>32</v>
      </c>
      <c r="B136">
        <v>55.4</v>
      </c>
      <c r="C136">
        <v>69</v>
      </c>
      <c r="D136">
        <v>95</v>
      </c>
      <c r="E136">
        <v>62</v>
      </c>
      <c r="F136">
        <v>85.6</v>
      </c>
      <c r="H136" t="s">
        <v>227</v>
      </c>
      <c r="I136" s="20">
        <v>70.8</v>
      </c>
      <c r="J136" s="20">
        <v>69.4</v>
      </c>
      <c r="K136" s="20">
        <v>77.4</v>
      </c>
      <c r="L136" s="20">
        <v>52</v>
      </c>
      <c r="M136" s="20">
        <v>39.4</v>
      </c>
      <c r="N136" s="20">
        <v>60.4</v>
      </c>
      <c r="O136" s="21">
        <f t="shared" si="5"/>
        <v>61.5666666666667</v>
      </c>
      <c r="Q136">
        <v>70.8</v>
      </c>
      <c r="R136">
        <v>77.4</v>
      </c>
      <c r="T136">
        <v>52</v>
      </c>
      <c r="U136">
        <v>60.4</v>
      </c>
      <c r="W136">
        <v>70.8</v>
      </c>
      <c r="X136">
        <v>69.4</v>
      </c>
      <c r="Z136">
        <v>52</v>
      </c>
      <c r="AA136">
        <v>39.4</v>
      </c>
      <c r="AC136">
        <v>70.8</v>
      </c>
      <c r="AD136">
        <v>52</v>
      </c>
    </row>
    <row r="137" spans="1:30">
      <c r="A137" t="s">
        <v>33</v>
      </c>
      <c r="B137">
        <v>30</v>
      </c>
      <c r="C137">
        <v>65.6</v>
      </c>
      <c r="D137">
        <v>86.7</v>
      </c>
      <c r="E137">
        <v>67</v>
      </c>
      <c r="F137">
        <v>94.8</v>
      </c>
      <c r="H137" t="s">
        <v>228</v>
      </c>
      <c r="I137" s="20">
        <v>71.8</v>
      </c>
      <c r="J137" s="20">
        <v>83</v>
      </c>
      <c r="K137" s="20">
        <v>77.4</v>
      </c>
      <c r="L137" s="20">
        <v>57.6</v>
      </c>
      <c r="M137" s="20">
        <v>46.8</v>
      </c>
      <c r="N137" s="20">
        <v>67.8</v>
      </c>
      <c r="O137" s="21">
        <f t="shared" si="5"/>
        <v>67.4</v>
      </c>
      <c r="Q137">
        <v>71.8</v>
      </c>
      <c r="R137">
        <v>77.4</v>
      </c>
      <c r="T137">
        <v>57.6</v>
      </c>
      <c r="U137">
        <v>67.8</v>
      </c>
      <c r="W137">
        <v>71.8</v>
      </c>
      <c r="X137">
        <v>83</v>
      </c>
      <c r="Z137">
        <v>57.6</v>
      </c>
      <c r="AA137">
        <v>46.8</v>
      </c>
      <c r="AC137">
        <v>71.8</v>
      </c>
      <c r="AD137">
        <v>57.6</v>
      </c>
    </row>
    <row r="138" spans="1:30">
      <c r="A138" t="s">
        <v>34</v>
      </c>
      <c r="B138">
        <v>61.6</v>
      </c>
      <c r="C138">
        <v>84.4</v>
      </c>
      <c r="D138">
        <v>80.6</v>
      </c>
      <c r="E138">
        <v>26.2</v>
      </c>
      <c r="F138">
        <v>86.6</v>
      </c>
      <c r="H138" t="s">
        <v>229</v>
      </c>
      <c r="I138" s="20">
        <v>81.8</v>
      </c>
      <c r="J138" s="20">
        <v>73.1</v>
      </c>
      <c r="K138" s="20">
        <v>75.5</v>
      </c>
      <c r="L138" s="20">
        <v>68.6</v>
      </c>
      <c r="M138" s="20">
        <v>60.2</v>
      </c>
      <c r="N138" s="20">
        <v>67.8</v>
      </c>
      <c r="O138" s="21">
        <f t="shared" si="5"/>
        <v>71.1666666666667</v>
      </c>
      <c r="Q138">
        <v>81.8</v>
      </c>
      <c r="R138">
        <v>75.5</v>
      </c>
      <c r="T138">
        <v>68.6</v>
      </c>
      <c r="U138">
        <v>67.8</v>
      </c>
      <c r="W138">
        <v>81.8</v>
      </c>
      <c r="X138">
        <v>73.1</v>
      </c>
      <c r="Z138">
        <v>68.6</v>
      </c>
      <c r="AA138">
        <v>60.2</v>
      </c>
      <c r="AC138">
        <v>81.8</v>
      </c>
      <c r="AD138">
        <v>68.6</v>
      </c>
    </row>
    <row r="139" spans="1:30">
      <c r="A139" t="s">
        <v>35</v>
      </c>
      <c r="B139">
        <v>21</v>
      </c>
      <c r="C139">
        <v>25.2</v>
      </c>
      <c r="D139">
        <v>81.4</v>
      </c>
      <c r="E139">
        <v>67.6</v>
      </c>
      <c r="F139">
        <v>86.2</v>
      </c>
      <c r="H139" t="s">
        <v>230</v>
      </c>
      <c r="I139" s="20">
        <v>77</v>
      </c>
      <c r="J139" s="20">
        <v>82.2</v>
      </c>
      <c r="K139" s="20">
        <v>71.6</v>
      </c>
      <c r="L139" s="20">
        <v>60.6</v>
      </c>
      <c r="M139" s="20">
        <v>62.4</v>
      </c>
      <c r="N139" s="20">
        <v>53.6</v>
      </c>
      <c r="O139" s="21">
        <f t="shared" si="5"/>
        <v>67.9</v>
      </c>
      <c r="Q139">
        <v>77</v>
      </c>
      <c r="R139">
        <v>71.6</v>
      </c>
      <c r="T139">
        <v>60.6</v>
      </c>
      <c r="U139">
        <v>53.6</v>
      </c>
      <c r="W139">
        <v>77</v>
      </c>
      <c r="X139">
        <v>82.2</v>
      </c>
      <c r="Z139">
        <v>60.6</v>
      </c>
      <c r="AA139">
        <v>62.4</v>
      </c>
      <c r="AC139">
        <v>77</v>
      </c>
      <c r="AD139">
        <v>60.6</v>
      </c>
    </row>
    <row r="140" spans="1:30">
      <c r="A140" t="s">
        <v>36</v>
      </c>
      <c r="B140">
        <v>51</v>
      </c>
      <c r="C140">
        <v>62.4</v>
      </c>
      <c r="D140">
        <v>90.8</v>
      </c>
      <c r="E140">
        <v>57.2</v>
      </c>
      <c r="F140">
        <v>90.5</v>
      </c>
      <c r="H140" t="s">
        <v>231</v>
      </c>
      <c r="I140" s="20">
        <v>71</v>
      </c>
      <c r="J140" s="20">
        <v>76.4</v>
      </c>
      <c r="K140" s="20">
        <v>77.2</v>
      </c>
      <c r="L140" s="20">
        <v>24.4</v>
      </c>
      <c r="M140" s="20">
        <v>56.2</v>
      </c>
      <c r="N140" s="20">
        <v>60.2</v>
      </c>
      <c r="O140" s="21">
        <f t="shared" si="5"/>
        <v>60.9</v>
      </c>
      <c r="Q140">
        <v>71</v>
      </c>
      <c r="R140">
        <v>77.2</v>
      </c>
      <c r="T140">
        <v>24.4</v>
      </c>
      <c r="U140">
        <v>60.2</v>
      </c>
      <c r="W140">
        <v>71</v>
      </c>
      <c r="X140">
        <v>76.4</v>
      </c>
      <c r="Z140">
        <v>24.4</v>
      </c>
      <c r="AA140">
        <v>56.2</v>
      </c>
      <c r="AC140">
        <v>71</v>
      </c>
      <c r="AD140">
        <v>24.4</v>
      </c>
    </row>
    <row r="141" spans="1:30">
      <c r="A141" t="s">
        <v>37</v>
      </c>
      <c r="B141">
        <v>56.4</v>
      </c>
      <c r="C141">
        <v>81.2</v>
      </c>
      <c r="D141">
        <v>92.8</v>
      </c>
      <c r="E141">
        <v>61.8</v>
      </c>
      <c r="F141">
        <v>93</v>
      </c>
      <c r="H141" t="s">
        <v>232</v>
      </c>
      <c r="I141" s="20">
        <v>61.4</v>
      </c>
      <c r="J141" s="20">
        <v>56</v>
      </c>
      <c r="K141" s="20">
        <v>68.4</v>
      </c>
      <c r="L141" s="20">
        <v>74.2</v>
      </c>
      <c r="M141" s="20">
        <v>47.8</v>
      </c>
      <c r="N141" s="20">
        <v>46</v>
      </c>
      <c r="O141" s="21">
        <f t="shared" si="5"/>
        <v>58.9666666666667</v>
      </c>
      <c r="Q141">
        <v>61.4</v>
      </c>
      <c r="R141">
        <v>68.4</v>
      </c>
      <c r="T141">
        <v>74.2</v>
      </c>
      <c r="U141">
        <v>46</v>
      </c>
      <c r="W141">
        <v>61.4</v>
      </c>
      <c r="X141">
        <v>56</v>
      </c>
      <c r="Z141">
        <v>74.2</v>
      </c>
      <c r="AA141">
        <v>47.8</v>
      </c>
      <c r="AC141">
        <v>61.4</v>
      </c>
      <c r="AD141">
        <v>74.2</v>
      </c>
    </row>
    <row r="142" spans="1:30">
      <c r="A142" t="s">
        <v>38</v>
      </c>
      <c r="B142">
        <v>81.4</v>
      </c>
      <c r="C142">
        <v>75.4</v>
      </c>
      <c r="D142">
        <v>98.4</v>
      </c>
      <c r="E142">
        <v>78</v>
      </c>
      <c r="F142">
        <v>90</v>
      </c>
      <c r="H142" t="s">
        <v>233</v>
      </c>
      <c r="I142" s="20">
        <v>65.9</v>
      </c>
      <c r="J142" s="20">
        <v>60</v>
      </c>
      <c r="K142" s="20">
        <v>55.5</v>
      </c>
      <c r="L142" s="20">
        <v>71.6</v>
      </c>
      <c r="M142" s="20">
        <v>26.8</v>
      </c>
      <c r="N142" s="20">
        <v>20.8</v>
      </c>
      <c r="O142" s="21">
        <f t="shared" si="5"/>
        <v>50.1</v>
      </c>
      <c r="Q142">
        <v>65.9</v>
      </c>
      <c r="R142">
        <v>55.5</v>
      </c>
      <c r="T142">
        <v>71.6</v>
      </c>
      <c r="U142">
        <v>20.8</v>
      </c>
      <c r="W142">
        <v>65.9</v>
      </c>
      <c r="X142">
        <v>60</v>
      </c>
      <c r="Z142">
        <v>71.6</v>
      </c>
      <c r="AA142">
        <v>26.8</v>
      </c>
      <c r="AC142">
        <v>65.9</v>
      </c>
      <c r="AD142">
        <v>71.6</v>
      </c>
    </row>
    <row r="143" spans="1:30">
      <c r="A143" t="s">
        <v>39</v>
      </c>
      <c r="B143">
        <v>0</v>
      </c>
      <c r="C143">
        <v>2</v>
      </c>
      <c r="D143">
        <v>91</v>
      </c>
      <c r="E143">
        <v>26</v>
      </c>
      <c r="F143">
        <v>82.4</v>
      </c>
      <c r="H143" t="s">
        <v>234</v>
      </c>
      <c r="I143" s="20">
        <v>85.9</v>
      </c>
      <c r="J143" s="20">
        <v>85.4</v>
      </c>
      <c r="K143" s="20">
        <v>84.1</v>
      </c>
      <c r="L143" s="20">
        <v>63</v>
      </c>
      <c r="M143" s="20">
        <v>62.4</v>
      </c>
      <c r="N143" s="20">
        <v>67.6</v>
      </c>
      <c r="O143" s="21">
        <f t="shared" si="5"/>
        <v>74.7333333333333</v>
      </c>
      <c r="Q143">
        <v>85.9</v>
      </c>
      <c r="R143">
        <v>84.1</v>
      </c>
      <c r="T143">
        <v>63</v>
      </c>
      <c r="U143">
        <v>67.6</v>
      </c>
      <c r="W143">
        <v>85.9</v>
      </c>
      <c r="X143">
        <v>85.4</v>
      </c>
      <c r="Z143">
        <v>63</v>
      </c>
      <c r="AA143">
        <v>62.4</v>
      </c>
      <c r="AC143">
        <v>85.9</v>
      </c>
      <c r="AD143">
        <v>63</v>
      </c>
    </row>
    <row r="144" spans="1:30">
      <c r="A144" t="s">
        <v>40</v>
      </c>
      <c r="B144">
        <v>20.8</v>
      </c>
      <c r="C144">
        <v>74</v>
      </c>
      <c r="D144">
        <v>93</v>
      </c>
      <c r="E144">
        <v>57.6</v>
      </c>
      <c r="F144">
        <v>85</v>
      </c>
      <c r="H144" t="s">
        <v>235</v>
      </c>
      <c r="I144" s="20">
        <v>78.6</v>
      </c>
      <c r="J144" s="20">
        <v>82.4</v>
      </c>
      <c r="K144" s="20">
        <v>91.5</v>
      </c>
      <c r="L144" s="20">
        <v>41.6</v>
      </c>
      <c r="M144" s="20">
        <v>64.8</v>
      </c>
      <c r="N144" s="20">
        <v>78.2</v>
      </c>
      <c r="O144" s="21">
        <f t="shared" si="5"/>
        <v>72.85</v>
      </c>
      <c r="Q144">
        <v>78.6</v>
      </c>
      <c r="R144">
        <v>91.5</v>
      </c>
      <c r="T144">
        <v>41.6</v>
      </c>
      <c r="U144">
        <v>78.2</v>
      </c>
      <c r="W144">
        <v>78.6</v>
      </c>
      <c r="X144">
        <v>82.4</v>
      </c>
      <c r="Z144">
        <v>41.6</v>
      </c>
      <c r="AA144">
        <v>64.8</v>
      </c>
      <c r="AC144">
        <v>78.6</v>
      </c>
      <c r="AD144">
        <v>41.6</v>
      </c>
    </row>
    <row r="145" spans="1:30">
      <c r="A145" t="s">
        <v>41</v>
      </c>
      <c r="B145">
        <v>85.4</v>
      </c>
      <c r="C145">
        <v>45.6</v>
      </c>
      <c r="D145">
        <v>28.4</v>
      </c>
      <c r="E145">
        <v>57.6</v>
      </c>
      <c r="F145">
        <v>30.4</v>
      </c>
      <c r="H145" t="s">
        <v>236</v>
      </c>
      <c r="I145" s="20">
        <v>77.2</v>
      </c>
      <c r="J145" s="20">
        <v>69.2</v>
      </c>
      <c r="K145" s="20">
        <v>78</v>
      </c>
      <c r="L145" s="20">
        <v>66</v>
      </c>
      <c r="M145" s="20">
        <v>60.2</v>
      </c>
      <c r="N145" s="20">
        <v>50</v>
      </c>
      <c r="O145" s="21">
        <f t="shared" si="5"/>
        <v>66.7666666666667</v>
      </c>
      <c r="Q145">
        <v>77.2</v>
      </c>
      <c r="R145">
        <v>78</v>
      </c>
      <c r="T145">
        <v>66</v>
      </c>
      <c r="U145">
        <v>50</v>
      </c>
      <c r="W145">
        <v>77.2</v>
      </c>
      <c r="X145">
        <v>69.2</v>
      </c>
      <c r="Z145">
        <v>66</v>
      </c>
      <c r="AA145">
        <v>60.2</v>
      </c>
      <c r="AC145">
        <v>77.2</v>
      </c>
      <c r="AD145">
        <v>66</v>
      </c>
    </row>
    <row r="146" spans="1:30">
      <c r="A146" t="s">
        <v>42</v>
      </c>
      <c r="B146">
        <v>61</v>
      </c>
      <c r="C146">
        <v>82.1</v>
      </c>
      <c r="D146">
        <v>97.8</v>
      </c>
      <c r="E146">
        <v>68.6</v>
      </c>
      <c r="F146">
        <v>88.9</v>
      </c>
      <c r="H146" t="s">
        <v>237</v>
      </c>
      <c r="I146" s="20">
        <v>51.8</v>
      </c>
      <c r="J146" s="20">
        <v>64</v>
      </c>
      <c r="K146" s="20">
        <v>50.2</v>
      </c>
      <c r="L146" s="20">
        <v>61.8</v>
      </c>
      <c r="M146" s="20">
        <v>20.4</v>
      </c>
      <c r="N146" s="20">
        <v>31.6</v>
      </c>
      <c r="O146" s="21">
        <f t="shared" si="5"/>
        <v>46.6333333333333</v>
      </c>
      <c r="Q146">
        <v>51.8</v>
      </c>
      <c r="R146">
        <v>50.2</v>
      </c>
      <c r="T146">
        <v>61.8</v>
      </c>
      <c r="U146">
        <v>31.6</v>
      </c>
      <c r="W146">
        <v>51.8</v>
      </c>
      <c r="X146">
        <v>64</v>
      </c>
      <c r="Z146">
        <v>61.8</v>
      </c>
      <c r="AA146">
        <v>20.4</v>
      </c>
      <c r="AC146">
        <v>51.8</v>
      </c>
      <c r="AD146">
        <v>61.8</v>
      </c>
    </row>
    <row r="147" spans="1:30">
      <c r="A147" t="s">
        <v>43</v>
      </c>
      <c r="B147">
        <v>41.4</v>
      </c>
      <c r="C147">
        <v>8</v>
      </c>
      <c r="D147">
        <v>55.4</v>
      </c>
      <c r="E147">
        <v>52</v>
      </c>
      <c r="F147">
        <v>69</v>
      </c>
      <c r="H147" t="s">
        <v>238</v>
      </c>
      <c r="I147" s="20">
        <v>69.6</v>
      </c>
      <c r="J147" s="20">
        <v>81</v>
      </c>
      <c r="K147" s="20">
        <v>81</v>
      </c>
      <c r="L147" s="20">
        <v>32</v>
      </c>
      <c r="M147" s="20">
        <v>62</v>
      </c>
      <c r="N147" s="20">
        <v>74.9</v>
      </c>
      <c r="O147" s="21">
        <f t="shared" si="5"/>
        <v>66.75</v>
      </c>
      <c r="Q147">
        <v>69.6</v>
      </c>
      <c r="R147">
        <v>81</v>
      </c>
      <c r="T147">
        <v>32</v>
      </c>
      <c r="U147">
        <v>74.9</v>
      </c>
      <c r="W147">
        <v>69.6</v>
      </c>
      <c r="X147">
        <v>81</v>
      </c>
      <c r="Z147">
        <v>32</v>
      </c>
      <c r="AA147">
        <v>62</v>
      </c>
      <c r="AC147">
        <v>69.6</v>
      </c>
      <c r="AD147">
        <v>32</v>
      </c>
    </row>
    <row r="148" spans="1:30">
      <c r="A148" t="s">
        <v>44</v>
      </c>
      <c r="B148">
        <v>47</v>
      </c>
      <c r="C148">
        <v>83.4</v>
      </c>
      <c r="D148">
        <v>95.8</v>
      </c>
      <c r="E148">
        <v>57.6</v>
      </c>
      <c r="F148">
        <v>44.4</v>
      </c>
      <c r="H148" t="s">
        <v>239</v>
      </c>
      <c r="I148" s="20">
        <v>66.9</v>
      </c>
      <c r="J148" s="20">
        <v>66</v>
      </c>
      <c r="K148" s="20">
        <v>68.2</v>
      </c>
      <c r="L148" s="20">
        <v>80.2</v>
      </c>
      <c r="M148" s="20">
        <v>66.5</v>
      </c>
      <c r="N148" s="20">
        <v>46.4</v>
      </c>
      <c r="O148" s="21">
        <f t="shared" si="5"/>
        <v>65.7</v>
      </c>
      <c r="Q148">
        <v>66.9</v>
      </c>
      <c r="R148">
        <v>68.2</v>
      </c>
      <c r="T148">
        <v>80.2</v>
      </c>
      <c r="U148">
        <v>46.4</v>
      </c>
      <c r="W148">
        <v>66.9</v>
      </c>
      <c r="X148">
        <v>66</v>
      </c>
      <c r="Z148">
        <v>80.2</v>
      </c>
      <c r="AA148">
        <v>66.5</v>
      </c>
      <c r="AC148">
        <v>66.9</v>
      </c>
      <c r="AD148">
        <v>80.2</v>
      </c>
    </row>
    <row r="149" spans="1:30">
      <c r="A149" t="s">
        <v>46</v>
      </c>
      <c r="B149">
        <v>0</v>
      </c>
      <c r="C149">
        <v>0</v>
      </c>
      <c r="D149">
        <v>45.4</v>
      </c>
      <c r="E149">
        <v>68.6</v>
      </c>
      <c r="F149">
        <v>89.2</v>
      </c>
      <c r="H149" t="s">
        <v>240</v>
      </c>
      <c r="I149" s="20">
        <v>90.2</v>
      </c>
      <c r="J149" s="20">
        <v>87.8</v>
      </c>
      <c r="K149" s="20">
        <v>87.2</v>
      </c>
      <c r="L149" s="20">
        <v>87.2</v>
      </c>
      <c r="M149" s="20">
        <v>83.4</v>
      </c>
      <c r="N149" s="20">
        <v>81</v>
      </c>
      <c r="O149" s="21">
        <f t="shared" si="5"/>
        <v>86.1333333333333</v>
      </c>
      <c r="Q149">
        <v>90.2</v>
      </c>
      <c r="R149">
        <v>87.2</v>
      </c>
      <c r="T149">
        <v>87.2</v>
      </c>
      <c r="U149">
        <v>81</v>
      </c>
      <c r="W149">
        <v>90.2</v>
      </c>
      <c r="X149">
        <v>87.8</v>
      </c>
      <c r="Z149">
        <v>87.2</v>
      </c>
      <c r="AA149">
        <v>83.4</v>
      </c>
      <c r="AC149">
        <v>90.2</v>
      </c>
      <c r="AD149">
        <v>87.2</v>
      </c>
    </row>
    <row r="150" spans="1:30">
      <c r="A150" t="s">
        <v>45</v>
      </c>
      <c r="B150">
        <v>20.8</v>
      </c>
      <c r="C150">
        <v>42.6</v>
      </c>
      <c r="D150">
        <v>93.6</v>
      </c>
      <c r="E150">
        <v>60.6</v>
      </c>
      <c r="F150">
        <v>87.2</v>
      </c>
      <c r="H150" t="s">
        <v>241</v>
      </c>
      <c r="I150" s="20">
        <v>79.4</v>
      </c>
      <c r="J150" s="20">
        <v>86.4</v>
      </c>
      <c r="K150" s="20">
        <v>95.1</v>
      </c>
      <c r="L150" s="20">
        <v>85</v>
      </c>
      <c r="M150" s="20">
        <v>85.1</v>
      </c>
      <c r="N150" s="20">
        <v>84.9</v>
      </c>
      <c r="O150" s="21">
        <f t="shared" si="5"/>
        <v>85.9833333333333</v>
      </c>
      <c r="Q150">
        <v>79.4</v>
      </c>
      <c r="R150">
        <v>95.1</v>
      </c>
      <c r="T150">
        <v>85</v>
      </c>
      <c r="U150">
        <v>84.9</v>
      </c>
      <c r="W150">
        <v>79.4</v>
      </c>
      <c r="X150">
        <v>86.4</v>
      </c>
      <c r="Z150">
        <v>85</v>
      </c>
      <c r="AA150">
        <v>85.1</v>
      </c>
      <c r="AC150">
        <v>79.4</v>
      </c>
      <c r="AD150">
        <v>85</v>
      </c>
    </row>
    <row r="151" spans="1:30">
      <c r="A151" t="s">
        <v>47</v>
      </c>
      <c r="B151">
        <v>6.6</v>
      </c>
      <c r="C151">
        <v>13.8</v>
      </c>
      <c r="D151">
        <v>95</v>
      </c>
      <c r="E151">
        <v>24.4</v>
      </c>
      <c r="F151">
        <v>87.3</v>
      </c>
      <c r="H151" t="s">
        <v>242</v>
      </c>
      <c r="I151" s="20">
        <v>96.6</v>
      </c>
      <c r="J151" s="20">
        <v>85.4</v>
      </c>
      <c r="K151" s="20">
        <v>79.4</v>
      </c>
      <c r="L151" s="20">
        <v>75.2</v>
      </c>
      <c r="M151" s="20">
        <v>69.6</v>
      </c>
      <c r="N151" s="20">
        <v>72.4</v>
      </c>
      <c r="O151" s="21">
        <f t="shared" si="5"/>
        <v>79.7666666666667</v>
      </c>
      <c r="Q151">
        <v>96.6</v>
      </c>
      <c r="R151">
        <v>79.4</v>
      </c>
      <c r="T151">
        <v>75.2</v>
      </c>
      <c r="U151">
        <v>72.4</v>
      </c>
      <c r="W151">
        <v>96.6</v>
      </c>
      <c r="X151">
        <v>85.4</v>
      </c>
      <c r="Z151">
        <v>75.2</v>
      </c>
      <c r="AA151">
        <v>69.6</v>
      </c>
      <c r="AC151">
        <v>96.6</v>
      </c>
      <c r="AD151">
        <v>75.2</v>
      </c>
    </row>
    <row r="152" spans="1:30">
      <c r="A152" t="s">
        <v>48</v>
      </c>
      <c r="B152">
        <v>70.4</v>
      </c>
      <c r="C152">
        <v>75</v>
      </c>
      <c r="D152">
        <v>96.8</v>
      </c>
      <c r="E152">
        <v>74.2</v>
      </c>
      <c r="F152">
        <v>89.4</v>
      </c>
      <c r="H152" t="s">
        <v>243</v>
      </c>
      <c r="I152" s="20">
        <v>78.2</v>
      </c>
      <c r="J152" s="20">
        <v>92.2</v>
      </c>
      <c r="K152" s="20">
        <v>93.2</v>
      </c>
      <c r="L152" s="20">
        <v>76.6</v>
      </c>
      <c r="M152" s="20">
        <v>86.6</v>
      </c>
      <c r="N152" s="20">
        <v>90.8</v>
      </c>
      <c r="O152" s="21">
        <f t="shared" si="5"/>
        <v>86.2666666666667</v>
      </c>
      <c r="Q152">
        <v>78.2</v>
      </c>
      <c r="R152">
        <v>93.2</v>
      </c>
      <c r="T152">
        <v>76.6</v>
      </c>
      <c r="U152">
        <v>90.8</v>
      </c>
      <c r="W152">
        <v>78.2</v>
      </c>
      <c r="X152">
        <v>92.2</v>
      </c>
      <c r="Z152">
        <v>76.6</v>
      </c>
      <c r="AA152">
        <v>86.6</v>
      </c>
      <c r="AC152">
        <v>78.2</v>
      </c>
      <c r="AD152">
        <v>76.6</v>
      </c>
    </row>
    <row r="153" spans="1:30">
      <c r="A153" t="s">
        <v>49</v>
      </c>
      <c r="B153">
        <v>48.8</v>
      </c>
      <c r="C153">
        <v>76.6</v>
      </c>
      <c r="D153">
        <v>93.8</v>
      </c>
      <c r="E153">
        <v>71.6</v>
      </c>
      <c r="F153">
        <v>87.4</v>
      </c>
      <c r="H153" t="s">
        <v>244</v>
      </c>
      <c r="I153" s="20">
        <v>97.2</v>
      </c>
      <c r="J153" s="20">
        <v>85</v>
      </c>
      <c r="K153" s="20">
        <v>76.2</v>
      </c>
      <c r="L153" s="20">
        <v>64.7</v>
      </c>
      <c r="M153" s="20">
        <v>75.4</v>
      </c>
      <c r="N153" s="20">
        <v>64</v>
      </c>
      <c r="O153" s="21">
        <f t="shared" si="5"/>
        <v>77.0833333333333</v>
      </c>
      <c r="Q153">
        <v>97.2</v>
      </c>
      <c r="R153">
        <v>76.2</v>
      </c>
      <c r="T153">
        <v>64.7</v>
      </c>
      <c r="U153">
        <v>64</v>
      </c>
      <c r="W153">
        <v>97.2</v>
      </c>
      <c r="X153">
        <v>85</v>
      </c>
      <c r="Z153">
        <v>64.7</v>
      </c>
      <c r="AA153">
        <v>75.4</v>
      </c>
      <c r="AC153">
        <v>97.2</v>
      </c>
      <c r="AD153">
        <v>64.7</v>
      </c>
    </row>
    <row r="154" spans="1:30">
      <c r="A154" t="s">
        <v>50</v>
      </c>
      <c r="B154">
        <v>62.6</v>
      </c>
      <c r="C154">
        <v>77.6</v>
      </c>
      <c r="D154">
        <v>95.2</v>
      </c>
      <c r="E154">
        <v>63</v>
      </c>
      <c r="F154">
        <v>78.6</v>
      </c>
      <c r="H154" t="s">
        <v>245</v>
      </c>
      <c r="I154" s="20">
        <v>78.6</v>
      </c>
      <c r="J154" s="20">
        <v>97.2</v>
      </c>
      <c r="K154" s="20">
        <v>96.4</v>
      </c>
      <c r="L154" s="20">
        <v>95</v>
      </c>
      <c r="M154" s="20">
        <v>93.2</v>
      </c>
      <c r="N154" s="20">
        <v>94.6</v>
      </c>
      <c r="O154" s="21">
        <f t="shared" si="5"/>
        <v>92.5</v>
      </c>
      <c r="Q154">
        <v>78.6</v>
      </c>
      <c r="R154">
        <v>96.4</v>
      </c>
      <c r="T154">
        <v>95</v>
      </c>
      <c r="U154">
        <v>94.6</v>
      </c>
      <c r="W154">
        <v>78.6</v>
      </c>
      <c r="X154">
        <v>97.2</v>
      </c>
      <c r="Z154">
        <v>95</v>
      </c>
      <c r="AA154">
        <v>93.2</v>
      </c>
      <c r="AC154">
        <v>78.6</v>
      </c>
      <c r="AD154">
        <v>95</v>
      </c>
    </row>
    <row r="155" spans="1:30">
      <c r="A155" t="s">
        <v>51</v>
      </c>
      <c r="B155">
        <v>75.6</v>
      </c>
      <c r="C155">
        <v>66.6</v>
      </c>
      <c r="D155">
        <v>94.4</v>
      </c>
      <c r="E155">
        <v>41.6</v>
      </c>
      <c r="F155">
        <v>79.4</v>
      </c>
      <c r="H155" t="s">
        <v>246</v>
      </c>
      <c r="I155" s="20">
        <v>88.8</v>
      </c>
      <c r="J155" s="20">
        <v>85.6</v>
      </c>
      <c r="K155" s="20">
        <v>84</v>
      </c>
      <c r="L155" s="20">
        <v>77.4</v>
      </c>
      <c r="M155" s="20">
        <v>76.4</v>
      </c>
      <c r="N155" s="20">
        <v>70.4</v>
      </c>
      <c r="O155" s="21">
        <f t="shared" si="5"/>
        <v>80.4333333333333</v>
      </c>
      <c r="Q155">
        <v>88.8</v>
      </c>
      <c r="R155">
        <v>84</v>
      </c>
      <c r="T155">
        <v>77.4</v>
      </c>
      <c r="U155">
        <v>70.4</v>
      </c>
      <c r="W155">
        <v>88.8</v>
      </c>
      <c r="X155">
        <v>85.6</v>
      </c>
      <c r="Z155">
        <v>77.4</v>
      </c>
      <c r="AA155">
        <v>76.4</v>
      </c>
      <c r="AC155">
        <v>88.8</v>
      </c>
      <c r="AD155">
        <v>77.4</v>
      </c>
    </row>
    <row r="156" spans="1:30">
      <c r="A156" t="s">
        <v>54</v>
      </c>
      <c r="B156">
        <v>0</v>
      </c>
      <c r="C156">
        <v>56.4</v>
      </c>
      <c r="D156">
        <v>92.4</v>
      </c>
      <c r="E156">
        <v>66</v>
      </c>
      <c r="F156">
        <v>74</v>
      </c>
      <c r="H156" t="s">
        <v>247</v>
      </c>
      <c r="I156" s="20">
        <v>90</v>
      </c>
      <c r="J156" s="20">
        <v>93.8</v>
      </c>
      <c r="K156" s="20">
        <v>90.6</v>
      </c>
      <c r="L156" s="20">
        <v>91.4</v>
      </c>
      <c r="M156" s="20">
        <v>53.4</v>
      </c>
      <c r="N156" s="20">
        <v>90.8</v>
      </c>
      <c r="O156" s="21">
        <f t="shared" si="5"/>
        <v>85</v>
      </c>
      <c r="Q156">
        <v>90</v>
      </c>
      <c r="R156">
        <v>90.6</v>
      </c>
      <c r="T156">
        <v>91.4</v>
      </c>
      <c r="U156">
        <v>90.8</v>
      </c>
      <c r="W156">
        <v>90</v>
      </c>
      <c r="X156">
        <v>93.8</v>
      </c>
      <c r="Z156">
        <v>91.4</v>
      </c>
      <c r="AA156">
        <v>53.4</v>
      </c>
      <c r="AC156">
        <v>90</v>
      </c>
      <c r="AD156">
        <v>91.4</v>
      </c>
    </row>
    <row r="157" spans="1:30">
      <c r="A157" t="s">
        <v>52</v>
      </c>
      <c r="B157">
        <v>28.4</v>
      </c>
      <c r="C157">
        <v>40.2</v>
      </c>
      <c r="D157">
        <v>89.4</v>
      </c>
      <c r="E157">
        <v>61.8</v>
      </c>
      <c r="F157">
        <v>92.2</v>
      </c>
      <c r="H157" t="s">
        <v>248</v>
      </c>
      <c r="I157" s="20">
        <v>95.2</v>
      </c>
      <c r="J157" s="20">
        <v>83.2</v>
      </c>
      <c r="K157" s="20">
        <v>90</v>
      </c>
      <c r="L157" s="20">
        <v>87.2</v>
      </c>
      <c r="M157" s="20">
        <v>88.6</v>
      </c>
      <c r="N157" s="20">
        <v>89.2</v>
      </c>
      <c r="O157" s="21">
        <f t="shared" si="5"/>
        <v>88.9</v>
      </c>
      <c r="Q157">
        <v>95.2</v>
      </c>
      <c r="R157">
        <v>90</v>
      </c>
      <c r="T157">
        <v>87.2</v>
      </c>
      <c r="U157">
        <v>89.2</v>
      </c>
      <c r="W157">
        <v>95.2</v>
      </c>
      <c r="X157">
        <v>83.2</v>
      </c>
      <c r="Z157">
        <v>87.2</v>
      </c>
      <c r="AA157">
        <v>88.6</v>
      </c>
      <c r="AC157">
        <v>95.2</v>
      </c>
      <c r="AD157">
        <v>87.2</v>
      </c>
    </row>
    <row r="158" spans="1:30">
      <c r="A158" t="s">
        <v>53</v>
      </c>
      <c r="B158">
        <v>66.4</v>
      </c>
      <c r="C158">
        <v>82.4</v>
      </c>
      <c r="D158">
        <v>95</v>
      </c>
      <c r="E158">
        <v>32</v>
      </c>
      <c r="F158">
        <v>76.4</v>
      </c>
      <c r="H158" t="s">
        <v>249</v>
      </c>
      <c r="I158" s="20">
        <v>95.4</v>
      </c>
      <c r="J158" s="20">
        <v>93.2</v>
      </c>
      <c r="K158" s="20">
        <v>92.4</v>
      </c>
      <c r="L158" s="20">
        <v>79.2</v>
      </c>
      <c r="M158" s="20">
        <v>91.2</v>
      </c>
      <c r="N158" s="20">
        <v>82</v>
      </c>
      <c r="O158" s="21">
        <f t="shared" si="5"/>
        <v>88.9</v>
      </c>
      <c r="Q158">
        <v>95.4</v>
      </c>
      <c r="R158">
        <v>92.4</v>
      </c>
      <c r="T158">
        <v>79.2</v>
      </c>
      <c r="U158">
        <v>82</v>
      </c>
      <c r="W158">
        <v>95.4</v>
      </c>
      <c r="X158">
        <v>93.2</v>
      </c>
      <c r="Z158">
        <v>79.2</v>
      </c>
      <c r="AA158">
        <v>91.2</v>
      </c>
      <c r="AC158">
        <v>95.4</v>
      </c>
      <c r="AD158">
        <v>79.2</v>
      </c>
    </row>
    <row r="159" spans="1:30">
      <c r="A159" t="s">
        <v>55</v>
      </c>
      <c r="B159">
        <v>63.8</v>
      </c>
      <c r="C159">
        <v>66.2</v>
      </c>
      <c r="D159">
        <v>92.4</v>
      </c>
      <c r="E159">
        <v>80.2</v>
      </c>
      <c r="F159">
        <v>86.2</v>
      </c>
      <c r="H159" t="s">
        <v>250</v>
      </c>
      <c r="I159" s="20">
        <v>78.6</v>
      </c>
      <c r="J159" s="20">
        <v>97.2</v>
      </c>
      <c r="K159" s="20">
        <v>93.8</v>
      </c>
      <c r="L159" s="20">
        <v>85.8</v>
      </c>
      <c r="M159" s="20">
        <v>92.7</v>
      </c>
      <c r="N159" s="20">
        <v>87.4</v>
      </c>
      <c r="O159" s="21">
        <f t="shared" si="5"/>
        <v>89.25</v>
      </c>
      <c r="Q159">
        <v>78.6</v>
      </c>
      <c r="R159">
        <v>93.8</v>
      </c>
      <c r="T159">
        <v>85.8</v>
      </c>
      <c r="U159">
        <v>87.4</v>
      </c>
      <c r="W159">
        <v>78.6</v>
      </c>
      <c r="X159">
        <v>97.2</v>
      </c>
      <c r="Z159">
        <v>85.8</v>
      </c>
      <c r="AA159">
        <v>92.7</v>
      </c>
      <c r="AC159">
        <v>78.6</v>
      </c>
      <c r="AD159">
        <v>85.8</v>
      </c>
    </row>
    <row r="160" spans="1:30">
      <c r="A160" s="2" t="s">
        <v>448</v>
      </c>
      <c r="B160" s="2" t="s">
        <v>346</v>
      </c>
      <c r="C160" s="2" t="s">
        <v>347</v>
      </c>
      <c r="D160" s="2" t="s">
        <v>348</v>
      </c>
      <c r="E160" s="2" t="s">
        <v>349</v>
      </c>
      <c r="F160" s="2" t="s">
        <v>350</v>
      </c>
      <c r="H160" t="s">
        <v>251</v>
      </c>
      <c r="I160" s="20">
        <v>93.2</v>
      </c>
      <c r="J160" s="20">
        <v>83.2</v>
      </c>
      <c r="K160" s="20">
        <v>84.4</v>
      </c>
      <c r="L160" s="20">
        <v>53</v>
      </c>
      <c r="M160" s="20">
        <v>55.2</v>
      </c>
      <c r="N160" s="20">
        <v>76.2</v>
      </c>
      <c r="O160" s="21">
        <f t="shared" si="5"/>
        <v>74.2</v>
      </c>
      <c r="Q160">
        <v>93.2</v>
      </c>
      <c r="R160">
        <v>84.4</v>
      </c>
      <c r="T160">
        <v>53</v>
      </c>
      <c r="U160">
        <v>76.2</v>
      </c>
      <c r="W160">
        <v>93.2</v>
      </c>
      <c r="X160">
        <v>83.2</v>
      </c>
      <c r="Z160">
        <v>53</v>
      </c>
      <c r="AA160">
        <v>55.2</v>
      </c>
      <c r="AC160">
        <v>93.2</v>
      </c>
      <c r="AD160">
        <v>53</v>
      </c>
    </row>
    <row r="161" spans="1:30">
      <c r="A161" s="22" t="s">
        <v>20</v>
      </c>
      <c r="B161" s="23">
        <v>26.6</v>
      </c>
      <c r="C161" s="23">
        <v>75</v>
      </c>
      <c r="D161" s="23">
        <v>78.4</v>
      </c>
      <c r="E161" s="23">
        <v>63.8</v>
      </c>
      <c r="F161" s="23">
        <v>83.4</v>
      </c>
      <c r="H161" t="s">
        <v>252</v>
      </c>
      <c r="I161" s="20">
        <v>99.6</v>
      </c>
      <c r="J161" s="20">
        <v>90.8</v>
      </c>
      <c r="K161" s="20">
        <v>92.2</v>
      </c>
      <c r="L161" s="20">
        <v>85.6</v>
      </c>
      <c r="M161" s="20">
        <v>85.9</v>
      </c>
      <c r="N161" s="20">
        <v>86.4</v>
      </c>
      <c r="O161" s="21">
        <f t="shared" si="5"/>
        <v>90.0833333333333</v>
      </c>
      <c r="Q161">
        <v>99.6</v>
      </c>
      <c r="R161">
        <v>92.2</v>
      </c>
      <c r="T161">
        <v>85.6</v>
      </c>
      <c r="U161">
        <v>86.4</v>
      </c>
      <c r="W161">
        <v>99.6</v>
      </c>
      <c r="X161">
        <v>90.8</v>
      </c>
      <c r="Z161">
        <v>85.6</v>
      </c>
      <c r="AA161">
        <v>85.9</v>
      </c>
      <c r="AC161">
        <v>99.6</v>
      </c>
      <c r="AD161">
        <v>85.6</v>
      </c>
    </row>
    <row r="162" spans="1:30">
      <c r="A162" s="22" t="s">
        <v>21</v>
      </c>
      <c r="B162" s="23">
        <v>30.2</v>
      </c>
      <c r="C162" s="23">
        <v>62.2</v>
      </c>
      <c r="D162" s="23">
        <v>94</v>
      </c>
      <c r="E162" s="23">
        <v>70.2</v>
      </c>
      <c r="F162" s="23">
        <v>85.1</v>
      </c>
      <c r="H162" t="s">
        <v>253</v>
      </c>
      <c r="I162" s="20">
        <v>95.2</v>
      </c>
      <c r="J162" s="20">
        <v>95</v>
      </c>
      <c r="K162" s="20">
        <v>95.3</v>
      </c>
      <c r="L162" s="20">
        <v>94.8</v>
      </c>
      <c r="M162" s="20">
        <v>92.2</v>
      </c>
      <c r="N162" s="20">
        <v>86</v>
      </c>
      <c r="O162" s="21">
        <f t="shared" si="5"/>
        <v>93.0833333333333</v>
      </c>
      <c r="Q162">
        <v>95.2</v>
      </c>
      <c r="R162">
        <v>95.3</v>
      </c>
      <c r="T162">
        <v>94.8</v>
      </c>
      <c r="U162">
        <v>86</v>
      </c>
      <c r="W162">
        <v>95.2</v>
      </c>
      <c r="X162">
        <v>95</v>
      </c>
      <c r="Z162">
        <v>94.8</v>
      </c>
      <c r="AA162">
        <v>92.2</v>
      </c>
      <c r="AC162">
        <v>95.2</v>
      </c>
      <c r="AD162">
        <v>94.8</v>
      </c>
    </row>
    <row r="163" spans="1:30">
      <c r="A163" s="22" t="s">
        <v>22</v>
      </c>
      <c r="B163" s="23">
        <v>72.4</v>
      </c>
      <c r="C163" s="23">
        <v>52</v>
      </c>
      <c r="D163" s="23">
        <v>78.4</v>
      </c>
      <c r="E163" s="23">
        <v>39.4</v>
      </c>
      <c r="F163" s="23">
        <v>69.6</v>
      </c>
      <c r="H163" t="s">
        <v>254</v>
      </c>
      <c r="I163" s="20">
        <v>90.2</v>
      </c>
      <c r="J163" s="20">
        <v>86</v>
      </c>
      <c r="K163" s="20">
        <v>90.2</v>
      </c>
      <c r="L163" s="20">
        <v>86.6</v>
      </c>
      <c r="M163" s="20">
        <v>89.3</v>
      </c>
      <c r="N163" s="20">
        <v>92</v>
      </c>
      <c r="O163" s="21">
        <f t="shared" si="5"/>
        <v>89.05</v>
      </c>
      <c r="Q163">
        <v>90.2</v>
      </c>
      <c r="R163">
        <v>90.2</v>
      </c>
      <c r="T163">
        <v>86.6</v>
      </c>
      <c r="U163">
        <v>92</v>
      </c>
      <c r="W163">
        <v>90.2</v>
      </c>
      <c r="X163">
        <v>86</v>
      </c>
      <c r="Z163">
        <v>86.6</v>
      </c>
      <c r="AA163">
        <v>89.3</v>
      </c>
      <c r="AC163">
        <v>90.2</v>
      </c>
      <c r="AD163">
        <v>86.6</v>
      </c>
    </row>
    <row r="164" spans="1:30">
      <c r="A164" s="22" t="s">
        <v>23</v>
      </c>
      <c r="B164" s="23">
        <v>75.8</v>
      </c>
      <c r="C164" s="23">
        <v>47</v>
      </c>
      <c r="D164" s="23">
        <v>32.8</v>
      </c>
      <c r="E164" s="23">
        <v>62.6</v>
      </c>
      <c r="F164" s="23">
        <v>86.6</v>
      </c>
      <c r="H164" t="s">
        <v>255</v>
      </c>
      <c r="I164" s="20">
        <v>85.8</v>
      </c>
      <c r="J164" s="20">
        <v>91.6</v>
      </c>
      <c r="K164" s="20">
        <v>96.6</v>
      </c>
      <c r="L164" s="20">
        <v>86.2</v>
      </c>
      <c r="M164" s="20">
        <v>89.5</v>
      </c>
      <c r="N164" s="20">
        <v>83.6</v>
      </c>
      <c r="O164" s="21">
        <f t="shared" si="5"/>
        <v>88.8833333333333</v>
      </c>
      <c r="Q164">
        <v>85.8</v>
      </c>
      <c r="R164">
        <v>96.6</v>
      </c>
      <c r="T164">
        <v>86.2</v>
      </c>
      <c r="U164">
        <v>83.6</v>
      </c>
      <c r="W164">
        <v>85.8</v>
      </c>
      <c r="X164">
        <v>91.6</v>
      </c>
      <c r="Z164">
        <v>86.2</v>
      </c>
      <c r="AA164">
        <v>89.5</v>
      </c>
      <c r="AC164">
        <v>85.8</v>
      </c>
      <c r="AD164">
        <v>86.2</v>
      </c>
    </row>
    <row r="165" spans="1:30">
      <c r="A165" s="22" t="s">
        <v>24</v>
      </c>
      <c r="B165" s="23">
        <v>71.2</v>
      </c>
      <c r="C165" s="23">
        <v>74.4</v>
      </c>
      <c r="D165" s="23">
        <v>93</v>
      </c>
      <c r="E165" s="23">
        <v>68.8</v>
      </c>
      <c r="F165" s="23">
        <v>75.4</v>
      </c>
      <c r="H165" t="s">
        <v>256</v>
      </c>
      <c r="I165" s="20">
        <v>92.6</v>
      </c>
      <c r="J165" s="20">
        <v>88.2</v>
      </c>
      <c r="K165" s="20">
        <v>84.2</v>
      </c>
      <c r="L165" s="20">
        <v>90.5</v>
      </c>
      <c r="M165" s="20">
        <v>89.8</v>
      </c>
      <c r="N165" s="20">
        <v>82.2</v>
      </c>
      <c r="O165" s="21">
        <f t="shared" si="5"/>
        <v>87.9166666666667</v>
      </c>
      <c r="Q165">
        <v>92.6</v>
      </c>
      <c r="R165">
        <v>84.2</v>
      </c>
      <c r="T165">
        <v>90.5</v>
      </c>
      <c r="U165">
        <v>82.2</v>
      </c>
      <c r="W165">
        <v>92.6</v>
      </c>
      <c r="X165">
        <v>88.2</v>
      </c>
      <c r="Z165">
        <v>90.5</v>
      </c>
      <c r="AA165">
        <v>89.8</v>
      </c>
      <c r="AC165">
        <v>92.6</v>
      </c>
      <c r="AD165">
        <v>90.5</v>
      </c>
    </row>
    <row r="166" spans="1:30">
      <c r="A166" s="22" t="s">
        <v>25</v>
      </c>
      <c r="B166" s="23">
        <v>35.8</v>
      </c>
      <c r="C166" s="23">
        <v>73.6</v>
      </c>
      <c r="D166" s="23">
        <v>93.8</v>
      </c>
      <c r="E166" s="23">
        <v>58.4</v>
      </c>
      <c r="F166" s="23">
        <v>93.2</v>
      </c>
      <c r="H166" t="s">
        <v>257</v>
      </c>
      <c r="I166" s="20">
        <v>94.2</v>
      </c>
      <c r="J166" s="20">
        <v>93.2</v>
      </c>
      <c r="K166" s="20">
        <v>94</v>
      </c>
      <c r="L166" s="20">
        <v>93</v>
      </c>
      <c r="M166" s="20">
        <v>82.8</v>
      </c>
      <c r="N166" s="20">
        <v>86.6</v>
      </c>
      <c r="O166" s="21">
        <f t="shared" ref="O166:O184" si="6">AVERAGE(I166:N166)</f>
        <v>90.6333333333333</v>
      </c>
      <c r="Q166">
        <v>94.2</v>
      </c>
      <c r="R166">
        <v>94</v>
      </c>
      <c r="T166">
        <v>93</v>
      </c>
      <c r="U166">
        <v>86.6</v>
      </c>
      <c r="W166">
        <v>94.2</v>
      </c>
      <c r="X166">
        <v>93.2</v>
      </c>
      <c r="Z166">
        <v>93</v>
      </c>
      <c r="AA166">
        <v>82.8</v>
      </c>
      <c r="AC166">
        <v>94.2</v>
      </c>
      <c r="AD166">
        <v>93</v>
      </c>
    </row>
    <row r="167" spans="1:30">
      <c r="A167" s="22" t="s">
        <v>26</v>
      </c>
      <c r="B167" s="23">
        <v>60.8</v>
      </c>
      <c r="C167" s="23">
        <v>79.6</v>
      </c>
      <c r="D167" s="23">
        <v>92</v>
      </c>
      <c r="E167" s="23">
        <v>77.8</v>
      </c>
      <c r="F167" s="23">
        <v>76.4</v>
      </c>
      <c r="H167" t="s">
        <v>258</v>
      </c>
      <c r="I167" s="20">
        <v>93.2</v>
      </c>
      <c r="J167" s="20">
        <v>95.2</v>
      </c>
      <c r="K167" s="20">
        <v>95.2</v>
      </c>
      <c r="L167" s="20">
        <v>90</v>
      </c>
      <c r="M167" s="20">
        <v>93.4</v>
      </c>
      <c r="N167" s="20">
        <v>86.9</v>
      </c>
      <c r="O167" s="21">
        <f t="shared" si="6"/>
        <v>92.3166666666667</v>
      </c>
      <c r="Q167">
        <v>93.2</v>
      </c>
      <c r="R167">
        <v>95.2</v>
      </c>
      <c r="T167">
        <v>90</v>
      </c>
      <c r="U167">
        <v>86.9</v>
      </c>
      <c r="W167">
        <v>93.2</v>
      </c>
      <c r="X167">
        <v>95.2</v>
      </c>
      <c r="Z167">
        <v>90</v>
      </c>
      <c r="AA167">
        <v>93.4</v>
      </c>
      <c r="AC167">
        <v>93.2</v>
      </c>
      <c r="AD167">
        <v>90</v>
      </c>
    </row>
    <row r="168" spans="1:30">
      <c r="A168" s="22" t="s">
        <v>27</v>
      </c>
      <c r="B168" s="23">
        <v>50.8</v>
      </c>
      <c r="C168" s="23">
        <v>75.8</v>
      </c>
      <c r="D168" s="23">
        <v>93</v>
      </c>
      <c r="E168" s="23">
        <v>77.8</v>
      </c>
      <c r="F168" s="23">
        <v>53.4</v>
      </c>
      <c r="H168" t="s">
        <v>259</v>
      </c>
      <c r="I168" s="20">
        <v>92.3</v>
      </c>
      <c r="J168" s="20">
        <v>89.8</v>
      </c>
      <c r="K168" s="20">
        <v>96.2</v>
      </c>
      <c r="L168" s="20">
        <v>82.4</v>
      </c>
      <c r="M168" s="20">
        <v>77</v>
      </c>
      <c r="N168" s="20">
        <v>83.2</v>
      </c>
      <c r="O168" s="21">
        <f t="shared" si="6"/>
        <v>86.8166666666667</v>
      </c>
      <c r="Q168">
        <v>92.3</v>
      </c>
      <c r="R168">
        <v>96.2</v>
      </c>
      <c r="T168">
        <v>82.4</v>
      </c>
      <c r="U168">
        <v>83.2</v>
      </c>
      <c r="W168">
        <v>92.3</v>
      </c>
      <c r="X168">
        <v>89.8</v>
      </c>
      <c r="Z168">
        <v>82.4</v>
      </c>
      <c r="AA168">
        <v>77</v>
      </c>
      <c r="AC168">
        <v>92.3</v>
      </c>
      <c r="AD168">
        <v>82.4</v>
      </c>
    </row>
    <row r="169" spans="1:30">
      <c r="A169" s="22" t="s">
        <v>28</v>
      </c>
      <c r="B169" s="23">
        <v>62.8</v>
      </c>
      <c r="C169" s="23">
        <v>73.6</v>
      </c>
      <c r="D169" s="23">
        <v>93.6</v>
      </c>
      <c r="E169" s="23">
        <v>77</v>
      </c>
      <c r="F169" s="23">
        <v>88.6</v>
      </c>
      <c r="H169" t="s">
        <v>260</v>
      </c>
      <c r="I169" s="20">
        <v>31.6</v>
      </c>
      <c r="J169" s="20">
        <v>90.8</v>
      </c>
      <c r="K169" s="20">
        <v>88.2</v>
      </c>
      <c r="L169" s="20">
        <v>85</v>
      </c>
      <c r="M169" s="20">
        <v>90.8</v>
      </c>
      <c r="N169" s="20">
        <v>38</v>
      </c>
      <c r="O169" s="21">
        <f t="shared" si="6"/>
        <v>70.7333333333333</v>
      </c>
      <c r="Q169">
        <v>31.6</v>
      </c>
      <c r="R169">
        <v>88.2</v>
      </c>
      <c r="T169">
        <v>85</v>
      </c>
      <c r="U169">
        <v>38</v>
      </c>
      <c r="W169">
        <v>31.6</v>
      </c>
      <c r="X169">
        <v>90.8</v>
      </c>
      <c r="Z169">
        <v>85</v>
      </c>
      <c r="AA169">
        <v>90.8</v>
      </c>
      <c r="AC169">
        <v>31.6</v>
      </c>
      <c r="AD169">
        <v>85</v>
      </c>
    </row>
    <row r="170" spans="1:30">
      <c r="A170" s="22" t="s">
        <v>29</v>
      </c>
      <c r="B170" s="23">
        <v>0</v>
      </c>
      <c r="C170" s="23">
        <v>65.6</v>
      </c>
      <c r="D170" s="23">
        <v>36</v>
      </c>
      <c r="E170" s="23">
        <v>8.8</v>
      </c>
      <c r="F170" s="23">
        <v>91.2</v>
      </c>
      <c r="H170" t="s">
        <v>261</v>
      </c>
      <c r="I170" s="20">
        <v>88.6</v>
      </c>
      <c r="J170" s="20">
        <v>25.4</v>
      </c>
      <c r="K170" s="20">
        <v>25.2</v>
      </c>
      <c r="L170" s="20">
        <v>30.4</v>
      </c>
      <c r="M170" s="20">
        <v>7</v>
      </c>
      <c r="N170" s="20">
        <v>15.4</v>
      </c>
      <c r="O170" s="21">
        <f t="shared" si="6"/>
        <v>32</v>
      </c>
      <c r="Q170">
        <v>88.6</v>
      </c>
      <c r="R170">
        <v>25.2</v>
      </c>
      <c r="T170">
        <v>30.4</v>
      </c>
      <c r="U170">
        <v>15.4</v>
      </c>
      <c r="W170">
        <v>88.6</v>
      </c>
      <c r="X170">
        <v>25.4</v>
      </c>
      <c r="Z170">
        <v>30.4</v>
      </c>
      <c r="AA170">
        <v>7</v>
      </c>
      <c r="AC170">
        <v>88.6</v>
      </c>
      <c r="AD170">
        <v>30.4</v>
      </c>
    </row>
    <row r="171" spans="1:30">
      <c r="A171" s="22" t="s">
        <v>30</v>
      </c>
      <c r="B171" s="23">
        <v>58.6</v>
      </c>
      <c r="C171" s="23">
        <v>65.6</v>
      </c>
      <c r="D171" s="23">
        <v>95.2</v>
      </c>
      <c r="E171" s="23">
        <v>64.2</v>
      </c>
      <c r="F171" s="23">
        <v>92.7</v>
      </c>
      <c r="H171" t="s">
        <v>262</v>
      </c>
      <c r="I171" s="20">
        <v>80.8</v>
      </c>
      <c r="J171" s="20">
        <v>90.3</v>
      </c>
      <c r="K171" s="20">
        <v>88.2</v>
      </c>
      <c r="L171" s="20">
        <v>88.9</v>
      </c>
      <c r="M171" s="20">
        <v>90.6</v>
      </c>
      <c r="N171" s="20">
        <v>88.2</v>
      </c>
      <c r="O171" s="21">
        <f t="shared" si="6"/>
        <v>87.8333333333334</v>
      </c>
      <c r="Q171">
        <v>80.8</v>
      </c>
      <c r="R171">
        <v>88.2</v>
      </c>
      <c r="T171">
        <v>88.9</v>
      </c>
      <c r="U171">
        <v>88.2</v>
      </c>
      <c r="W171">
        <v>80.8</v>
      </c>
      <c r="X171">
        <v>90.3</v>
      </c>
      <c r="Z171">
        <v>88.9</v>
      </c>
      <c r="AA171">
        <v>90.6</v>
      </c>
      <c r="AC171">
        <v>80.8</v>
      </c>
      <c r="AD171">
        <v>88.9</v>
      </c>
    </row>
    <row r="172" spans="1:30">
      <c r="A172" s="22" t="s">
        <v>31</v>
      </c>
      <c r="B172" s="23">
        <v>67.5</v>
      </c>
      <c r="C172" s="23">
        <v>77.7</v>
      </c>
      <c r="D172" s="23">
        <v>97.6</v>
      </c>
      <c r="E172" s="23">
        <v>81.6</v>
      </c>
      <c r="F172" s="23">
        <v>55.2</v>
      </c>
      <c r="H172" t="s">
        <v>263</v>
      </c>
      <c r="I172" s="20">
        <v>96.6</v>
      </c>
      <c r="J172" s="20">
        <v>81.4</v>
      </c>
      <c r="K172" s="20">
        <v>80.6</v>
      </c>
      <c r="L172" s="20">
        <v>69</v>
      </c>
      <c r="M172" s="20">
        <v>84.9</v>
      </c>
      <c r="N172" s="20">
        <v>60.6</v>
      </c>
      <c r="O172" s="21">
        <f t="shared" si="6"/>
        <v>78.85</v>
      </c>
      <c r="Q172">
        <v>96.6</v>
      </c>
      <c r="R172">
        <v>80.6</v>
      </c>
      <c r="T172">
        <v>69</v>
      </c>
      <c r="U172">
        <v>60.6</v>
      </c>
      <c r="W172">
        <v>96.6</v>
      </c>
      <c r="X172">
        <v>81.4</v>
      </c>
      <c r="Z172">
        <v>69</v>
      </c>
      <c r="AA172">
        <v>84.9</v>
      </c>
      <c r="AC172">
        <v>96.6</v>
      </c>
      <c r="AD172">
        <v>69</v>
      </c>
    </row>
    <row r="173" spans="1:30">
      <c r="A173" s="22" t="s">
        <v>32</v>
      </c>
      <c r="B173" s="23">
        <v>33.2</v>
      </c>
      <c r="C173" s="23">
        <v>63</v>
      </c>
      <c r="D173" s="23">
        <v>93.8</v>
      </c>
      <c r="E173" s="23">
        <v>78.2</v>
      </c>
      <c r="F173" s="23">
        <v>85.9</v>
      </c>
      <c r="H173" t="s">
        <v>264</v>
      </c>
      <c r="I173" s="20">
        <v>85.8</v>
      </c>
      <c r="J173" s="20">
        <v>91</v>
      </c>
      <c r="K173" s="20">
        <v>93.2</v>
      </c>
      <c r="L173" s="20">
        <v>44.4</v>
      </c>
      <c r="M173" s="20">
        <v>48.2</v>
      </c>
      <c r="N173" s="20">
        <v>77.8</v>
      </c>
      <c r="O173" s="21">
        <f t="shared" si="6"/>
        <v>73.4</v>
      </c>
      <c r="Q173">
        <v>85.8</v>
      </c>
      <c r="R173">
        <v>93.2</v>
      </c>
      <c r="T173">
        <v>44.4</v>
      </c>
      <c r="U173">
        <v>77.8</v>
      </c>
      <c r="W173">
        <v>85.8</v>
      </c>
      <c r="X173">
        <v>91</v>
      </c>
      <c r="Z173">
        <v>44.4</v>
      </c>
      <c r="AA173">
        <v>48.2</v>
      </c>
      <c r="AC173">
        <v>85.8</v>
      </c>
      <c r="AD173">
        <v>44.4</v>
      </c>
    </row>
    <row r="174" spans="1:30">
      <c r="A174" s="22" t="s">
        <v>33</v>
      </c>
      <c r="B174" s="23">
        <v>44.2</v>
      </c>
      <c r="C174" s="23">
        <v>56.6</v>
      </c>
      <c r="D174" s="23">
        <v>89.4</v>
      </c>
      <c r="E174" s="23">
        <v>68.6</v>
      </c>
      <c r="F174" s="23">
        <v>92.2</v>
      </c>
      <c r="H174" t="s">
        <v>265</v>
      </c>
      <c r="I174" s="20">
        <v>90</v>
      </c>
      <c r="J174" s="20">
        <v>87.4</v>
      </c>
      <c r="K174" s="20">
        <v>87.8</v>
      </c>
      <c r="L174" s="20">
        <v>89.2</v>
      </c>
      <c r="M174" s="20">
        <v>50</v>
      </c>
      <c r="N174" s="20">
        <v>76.8</v>
      </c>
      <c r="O174" s="21">
        <f t="shared" si="6"/>
        <v>80.2</v>
      </c>
      <c r="Q174">
        <v>90</v>
      </c>
      <c r="R174">
        <v>87.8</v>
      </c>
      <c r="T174">
        <v>89.2</v>
      </c>
      <c r="U174">
        <v>76.8</v>
      </c>
      <c r="W174">
        <v>90</v>
      </c>
      <c r="X174">
        <v>87.4</v>
      </c>
      <c r="Z174">
        <v>89.2</v>
      </c>
      <c r="AA174">
        <v>50</v>
      </c>
      <c r="AC174">
        <v>90</v>
      </c>
      <c r="AD174">
        <v>89.2</v>
      </c>
    </row>
    <row r="175" spans="1:30">
      <c r="A175" s="22" t="s">
        <v>34</v>
      </c>
      <c r="B175" s="23">
        <v>46</v>
      </c>
      <c r="C175" s="23">
        <v>86.8</v>
      </c>
      <c r="D175" s="23">
        <v>89.4</v>
      </c>
      <c r="E175" s="23">
        <v>45.2</v>
      </c>
      <c r="F175" s="23">
        <v>89.3</v>
      </c>
      <c r="H175" t="s">
        <v>266</v>
      </c>
      <c r="I175" s="20">
        <v>80.6</v>
      </c>
      <c r="J175" s="20">
        <v>94.2</v>
      </c>
      <c r="K175" s="20">
        <v>91.2</v>
      </c>
      <c r="L175" s="20">
        <v>87.2</v>
      </c>
      <c r="M175" s="20">
        <v>81.8</v>
      </c>
      <c r="N175" s="20">
        <v>86</v>
      </c>
      <c r="O175" s="21">
        <f t="shared" si="6"/>
        <v>86.8333333333333</v>
      </c>
      <c r="Q175">
        <v>80.6</v>
      </c>
      <c r="R175">
        <v>91.2</v>
      </c>
      <c r="T175">
        <v>87.2</v>
      </c>
      <c r="U175">
        <v>86</v>
      </c>
      <c r="W175">
        <v>80.6</v>
      </c>
      <c r="X175">
        <v>94.2</v>
      </c>
      <c r="Z175">
        <v>87.2</v>
      </c>
      <c r="AA175">
        <v>81.8</v>
      </c>
      <c r="AC175">
        <v>80.6</v>
      </c>
      <c r="AD175">
        <v>87.2</v>
      </c>
    </row>
    <row r="176" spans="1:30">
      <c r="A176" s="22" t="s">
        <v>35</v>
      </c>
      <c r="B176" s="23">
        <v>30.4</v>
      </c>
      <c r="C176" s="23">
        <v>32.6</v>
      </c>
      <c r="D176" s="23">
        <v>90.8</v>
      </c>
      <c r="E176" s="23">
        <v>70.3</v>
      </c>
      <c r="F176" s="23">
        <v>89.5</v>
      </c>
      <c r="H176" t="s">
        <v>267</v>
      </c>
      <c r="I176" s="20">
        <v>96</v>
      </c>
      <c r="J176" s="20">
        <v>93</v>
      </c>
      <c r="K176" s="20">
        <v>90.8</v>
      </c>
      <c r="L176" s="20">
        <v>87.3</v>
      </c>
      <c r="M176" s="20">
        <v>83.8</v>
      </c>
      <c r="N176" s="20">
        <v>75.2</v>
      </c>
      <c r="O176" s="21">
        <f t="shared" si="6"/>
        <v>87.6833333333333</v>
      </c>
      <c r="Q176">
        <v>96</v>
      </c>
      <c r="R176">
        <v>90.8</v>
      </c>
      <c r="T176">
        <v>87.3</v>
      </c>
      <c r="U176">
        <v>75.2</v>
      </c>
      <c r="W176">
        <v>96</v>
      </c>
      <c r="X176">
        <v>93</v>
      </c>
      <c r="Z176">
        <v>87.3</v>
      </c>
      <c r="AA176">
        <v>83.8</v>
      </c>
      <c r="AC176">
        <v>96</v>
      </c>
      <c r="AD176">
        <v>87.3</v>
      </c>
    </row>
    <row r="177" spans="1:30">
      <c r="A177" s="22" t="s">
        <v>36</v>
      </c>
      <c r="B177" s="23">
        <v>61.6</v>
      </c>
      <c r="C177" s="23">
        <v>72.1</v>
      </c>
      <c r="D177" s="23">
        <v>81.4</v>
      </c>
      <c r="E177" s="23">
        <v>25</v>
      </c>
      <c r="F177" s="23">
        <v>89.8</v>
      </c>
      <c r="H177" t="s">
        <v>268</v>
      </c>
      <c r="I177" s="20">
        <v>91.2</v>
      </c>
      <c r="J177" s="20">
        <v>85.2</v>
      </c>
      <c r="K177" s="20">
        <v>86.8</v>
      </c>
      <c r="L177" s="20">
        <v>89.4</v>
      </c>
      <c r="M177" s="20">
        <v>88</v>
      </c>
      <c r="N177" s="20">
        <v>83.4</v>
      </c>
      <c r="O177" s="21">
        <f t="shared" si="6"/>
        <v>87.3333333333333</v>
      </c>
      <c r="Q177">
        <v>91.2</v>
      </c>
      <c r="R177">
        <v>86.8</v>
      </c>
      <c r="T177">
        <v>89.4</v>
      </c>
      <c r="U177">
        <v>83.4</v>
      </c>
      <c r="W177">
        <v>91.2</v>
      </c>
      <c r="X177">
        <v>85.2</v>
      </c>
      <c r="Z177">
        <v>89.4</v>
      </c>
      <c r="AA177">
        <v>88</v>
      </c>
      <c r="AC177">
        <v>91.2</v>
      </c>
      <c r="AD177">
        <v>89.4</v>
      </c>
    </row>
    <row r="178" spans="1:30">
      <c r="A178" s="22" t="s">
        <v>37</v>
      </c>
      <c r="B178" s="23">
        <v>57.6</v>
      </c>
      <c r="C178" s="23">
        <v>69.6</v>
      </c>
      <c r="D178" s="23">
        <v>91</v>
      </c>
      <c r="E178" s="23">
        <v>55</v>
      </c>
      <c r="F178" s="23">
        <v>82.8</v>
      </c>
      <c r="H178" t="s">
        <v>269</v>
      </c>
      <c r="I178" s="20">
        <v>78.2</v>
      </c>
      <c r="J178" s="20">
        <v>95</v>
      </c>
      <c r="K178" s="20">
        <v>95.6</v>
      </c>
      <c r="L178" s="20">
        <v>87.4</v>
      </c>
      <c r="M178" s="20">
        <v>92.3</v>
      </c>
      <c r="N178" s="20">
        <v>87.2</v>
      </c>
      <c r="O178" s="21">
        <f t="shared" si="6"/>
        <v>89.2833333333333</v>
      </c>
      <c r="Q178">
        <v>78.2</v>
      </c>
      <c r="R178">
        <v>95.6</v>
      </c>
      <c r="T178">
        <v>87.4</v>
      </c>
      <c r="U178">
        <v>87.2</v>
      </c>
      <c r="W178">
        <v>78.2</v>
      </c>
      <c r="X178">
        <v>95</v>
      </c>
      <c r="Z178">
        <v>87.4</v>
      </c>
      <c r="AA178">
        <v>92.3</v>
      </c>
      <c r="AC178">
        <v>78.2</v>
      </c>
      <c r="AD178">
        <v>87.4</v>
      </c>
    </row>
    <row r="179" spans="1:30">
      <c r="A179" s="22" t="s">
        <v>38</v>
      </c>
      <c r="B179" s="23">
        <v>68</v>
      </c>
      <c r="C179" s="23">
        <v>87.4</v>
      </c>
      <c r="D179" s="23">
        <v>98.8</v>
      </c>
      <c r="E179" s="23">
        <v>70.2</v>
      </c>
      <c r="F179" s="23">
        <v>93.4</v>
      </c>
      <c r="H179" t="s">
        <v>270</v>
      </c>
      <c r="I179" s="20">
        <v>97.2</v>
      </c>
      <c r="J179" s="20">
        <v>81.6</v>
      </c>
      <c r="K179" s="20">
        <v>81.2</v>
      </c>
      <c r="L179" s="20">
        <v>78.6</v>
      </c>
      <c r="M179" s="20">
        <v>75.2</v>
      </c>
      <c r="N179" s="20">
        <v>64.6</v>
      </c>
      <c r="O179" s="21">
        <f t="shared" si="6"/>
        <v>79.7333333333333</v>
      </c>
      <c r="Q179">
        <v>97.2</v>
      </c>
      <c r="R179">
        <v>81.2</v>
      </c>
      <c r="T179">
        <v>78.6</v>
      </c>
      <c r="U179">
        <v>64.6</v>
      </c>
      <c r="W179">
        <v>97.2</v>
      </c>
      <c r="X179">
        <v>81.6</v>
      </c>
      <c r="Z179">
        <v>78.6</v>
      </c>
      <c r="AA179">
        <v>75.2</v>
      </c>
      <c r="AC179">
        <v>97.2</v>
      </c>
      <c r="AD179">
        <v>78.6</v>
      </c>
    </row>
    <row r="180" spans="1:30">
      <c r="A180" s="22" t="s">
        <v>39</v>
      </c>
      <c r="B180" s="23">
        <v>8.6</v>
      </c>
      <c r="C180" s="23">
        <v>24.2</v>
      </c>
      <c r="D180" s="23">
        <v>96</v>
      </c>
      <c r="E180" s="23">
        <v>46.6</v>
      </c>
      <c r="F180" s="23">
        <v>77</v>
      </c>
      <c r="H180" t="s">
        <v>271</v>
      </c>
      <c r="I180" s="20">
        <v>82.6</v>
      </c>
      <c r="J180" s="20">
        <v>90.2</v>
      </c>
      <c r="K180" s="20">
        <v>95.8</v>
      </c>
      <c r="L180" s="20">
        <v>79.4</v>
      </c>
      <c r="M180" s="20">
        <v>87.4</v>
      </c>
      <c r="N180" s="20">
        <v>92.8</v>
      </c>
      <c r="O180" s="21">
        <f t="shared" si="6"/>
        <v>88.0333333333333</v>
      </c>
      <c r="Q180">
        <v>82.6</v>
      </c>
      <c r="R180">
        <v>95.8</v>
      </c>
      <c r="T180">
        <v>79.4</v>
      </c>
      <c r="U180">
        <v>92.8</v>
      </c>
      <c r="W180">
        <v>82.6</v>
      </c>
      <c r="X180">
        <v>90.2</v>
      </c>
      <c r="Z180">
        <v>79.4</v>
      </c>
      <c r="AA180">
        <v>87.4</v>
      </c>
      <c r="AC180">
        <v>82.6</v>
      </c>
      <c r="AD180">
        <v>79.4</v>
      </c>
    </row>
    <row r="181" spans="1:30">
      <c r="A181" s="22" t="s">
        <v>40</v>
      </c>
      <c r="B181" s="23">
        <v>35</v>
      </c>
      <c r="C181" s="23">
        <v>73</v>
      </c>
      <c r="D181" s="23">
        <v>93.4</v>
      </c>
      <c r="E181" s="23">
        <v>61</v>
      </c>
      <c r="F181" s="23">
        <v>90.8</v>
      </c>
      <c r="H181" t="s">
        <v>272</v>
      </c>
      <c r="I181" s="20">
        <v>88.6</v>
      </c>
      <c r="J181" s="20">
        <v>88.6</v>
      </c>
      <c r="K181" s="20">
        <v>88.2</v>
      </c>
      <c r="L181" s="20">
        <v>74</v>
      </c>
      <c r="M181" s="20">
        <v>91.6</v>
      </c>
      <c r="N181" s="20">
        <v>75.1</v>
      </c>
      <c r="O181" s="21">
        <f t="shared" si="6"/>
        <v>84.35</v>
      </c>
      <c r="Q181">
        <v>88.6</v>
      </c>
      <c r="R181">
        <v>88.2</v>
      </c>
      <c r="T181">
        <v>74</v>
      </c>
      <c r="U181">
        <v>75.1</v>
      </c>
      <c r="W181">
        <v>88.6</v>
      </c>
      <c r="X181">
        <v>88.6</v>
      </c>
      <c r="Z181">
        <v>74</v>
      </c>
      <c r="AA181">
        <v>91.6</v>
      </c>
      <c r="AC181">
        <v>88.6</v>
      </c>
      <c r="AD181">
        <v>74</v>
      </c>
    </row>
    <row r="182" spans="1:30">
      <c r="A182" s="22" t="s">
        <v>41</v>
      </c>
      <c r="B182" s="23">
        <v>75.8</v>
      </c>
      <c r="C182" s="23">
        <v>26.8</v>
      </c>
      <c r="D182" s="23">
        <v>24.8</v>
      </c>
      <c r="E182" s="23">
        <v>14</v>
      </c>
      <c r="F182" s="23">
        <v>7</v>
      </c>
      <c r="H182" t="s">
        <v>273</v>
      </c>
      <c r="I182" s="20">
        <v>95.2</v>
      </c>
      <c r="J182" s="20">
        <v>93.4</v>
      </c>
      <c r="K182" s="20">
        <v>92.2</v>
      </c>
      <c r="L182" s="20">
        <v>92.2</v>
      </c>
      <c r="M182" s="20">
        <v>87.6</v>
      </c>
      <c r="N182" s="20">
        <v>86.2</v>
      </c>
      <c r="O182" s="21">
        <f t="shared" si="6"/>
        <v>91.1333333333333</v>
      </c>
      <c r="Q182">
        <v>95.2</v>
      </c>
      <c r="R182">
        <v>92.2</v>
      </c>
      <c r="T182">
        <v>92.2</v>
      </c>
      <c r="U182">
        <v>86.2</v>
      </c>
      <c r="W182">
        <v>95.2</v>
      </c>
      <c r="X182">
        <v>93.4</v>
      </c>
      <c r="Z182">
        <v>92.2</v>
      </c>
      <c r="AA182">
        <v>87.6</v>
      </c>
      <c r="AC182">
        <v>95.2</v>
      </c>
      <c r="AD182">
        <v>92.2</v>
      </c>
    </row>
    <row r="183" spans="1:30">
      <c r="A183" s="22" t="s">
        <v>42</v>
      </c>
      <c r="B183" s="23">
        <v>70.8</v>
      </c>
      <c r="C183" s="23">
        <v>69.4</v>
      </c>
      <c r="D183" s="23">
        <v>100</v>
      </c>
      <c r="E183" s="23">
        <v>54.4</v>
      </c>
      <c r="F183" s="23">
        <v>90.6</v>
      </c>
      <c r="H183" t="s">
        <v>274</v>
      </c>
      <c r="I183" s="20">
        <v>82.8</v>
      </c>
      <c r="J183" s="20">
        <v>94.2</v>
      </c>
      <c r="K183" s="20">
        <v>99.2</v>
      </c>
      <c r="L183" s="20">
        <v>76.4</v>
      </c>
      <c r="M183" s="20">
        <v>86.4</v>
      </c>
      <c r="N183" s="20">
        <v>91.4</v>
      </c>
      <c r="O183" s="21">
        <f t="shared" si="6"/>
        <v>88.4</v>
      </c>
      <c r="Q183">
        <v>82.8</v>
      </c>
      <c r="R183">
        <v>99.2</v>
      </c>
      <c r="T183">
        <v>76.4</v>
      </c>
      <c r="U183">
        <v>91.4</v>
      </c>
      <c r="W183">
        <v>82.8</v>
      </c>
      <c r="X183">
        <v>94.2</v>
      </c>
      <c r="Z183">
        <v>76.4</v>
      </c>
      <c r="AA183">
        <v>86.4</v>
      </c>
      <c r="AC183">
        <v>82.8</v>
      </c>
      <c r="AD183">
        <v>76.4</v>
      </c>
    </row>
    <row r="184" spans="1:30">
      <c r="A184" s="22" t="s">
        <v>43</v>
      </c>
      <c r="B184" s="23">
        <v>25.8</v>
      </c>
      <c r="C184" s="23">
        <v>5.4</v>
      </c>
      <c r="D184" s="23">
        <v>33.6</v>
      </c>
      <c r="E184" s="23">
        <v>39.4</v>
      </c>
      <c r="F184" s="23">
        <v>84.9</v>
      </c>
      <c r="H184" t="s">
        <v>275</v>
      </c>
      <c r="I184" s="20">
        <v>93.2</v>
      </c>
      <c r="J184" s="20">
        <v>78.8</v>
      </c>
      <c r="K184" s="20">
        <v>82.6</v>
      </c>
      <c r="L184" s="20">
        <v>86.2</v>
      </c>
      <c r="M184" s="20">
        <v>66.8</v>
      </c>
      <c r="N184" s="20">
        <v>70</v>
      </c>
      <c r="O184" s="21">
        <f t="shared" si="6"/>
        <v>79.6</v>
      </c>
      <c r="Q184">
        <v>93.2</v>
      </c>
      <c r="R184">
        <v>82.6</v>
      </c>
      <c r="T184">
        <v>86.2</v>
      </c>
      <c r="U184">
        <v>70</v>
      </c>
      <c r="W184">
        <v>93.2</v>
      </c>
      <c r="X184">
        <v>78.8</v>
      </c>
      <c r="Z184">
        <v>86.2</v>
      </c>
      <c r="AA184">
        <v>66.8</v>
      </c>
      <c r="AC184">
        <v>93.2</v>
      </c>
      <c r="AD184">
        <v>86.2</v>
      </c>
    </row>
    <row r="185" spans="1:30">
      <c r="A185" s="22" t="s">
        <v>44</v>
      </c>
      <c r="B185" s="23">
        <v>42.2</v>
      </c>
      <c r="C185" s="23">
        <v>89.1</v>
      </c>
      <c r="D185" s="23">
        <v>94.4</v>
      </c>
      <c r="E185" s="23">
        <v>46.8</v>
      </c>
      <c r="F185" s="23">
        <v>48.2</v>
      </c>
      <c r="H185" t="s">
        <v>276</v>
      </c>
      <c r="I185" s="10">
        <f>AVERAGE(I5:I184)</f>
        <v>74.2577777777778</v>
      </c>
      <c r="J185" s="10">
        <f>AVERAGE(J5:J184)</f>
        <v>74.8611111111111</v>
      </c>
      <c r="K185" s="10">
        <f t="shared" ref="I185:N185" si="7">AVERAGE(K5:K184)</f>
        <v>74.2405555555556</v>
      </c>
      <c r="L185" s="10">
        <f t="shared" si="7"/>
        <v>66.6405555555556</v>
      </c>
      <c r="M185" s="10">
        <f t="shared" si="7"/>
        <v>65.0444444444444</v>
      </c>
      <c r="N185" s="10">
        <f t="shared" si="7"/>
        <v>65.4038888888889</v>
      </c>
    </row>
    <row r="186" spans="1:30">
      <c r="A186" s="22" t="s">
        <v>46</v>
      </c>
      <c r="B186" s="23">
        <v>0</v>
      </c>
      <c r="C186" s="23">
        <v>1</v>
      </c>
      <c r="D186" s="23">
        <v>48.6</v>
      </c>
      <c r="E186" s="23">
        <v>60.2</v>
      </c>
      <c r="F186" s="23">
        <v>50</v>
      </c>
      <c r="H186" t="s">
        <v>277</v>
      </c>
      <c r="I186" s="10">
        <f>AVERAGE(I5:N184)</f>
        <v>70.0747222222222</v>
      </c>
      <c r="J186" s="10"/>
      <c r="K186" s="10"/>
      <c r="L186" s="10"/>
      <c r="M186" s="10"/>
      <c r="N186" s="10"/>
    </row>
    <row r="187" spans="1:30">
      <c r="A187" s="22" t="s">
        <v>45</v>
      </c>
      <c r="B187" s="23">
        <v>11.6</v>
      </c>
      <c r="C187" s="23">
        <v>26</v>
      </c>
      <c r="D187" s="23">
        <v>79.2</v>
      </c>
      <c r="E187" s="23">
        <v>62.4</v>
      </c>
      <c r="F187" s="23">
        <v>81.8</v>
      </c>
      <c r="H187" t="s">
        <v>278</v>
      </c>
      <c r="I187" s="10">
        <f>6*DEVSQ(O5:O184)</f>
        <v>544948.85825</v>
      </c>
      <c r="J187" s="10"/>
      <c r="K187" s="10"/>
      <c r="L187" s="10"/>
      <c r="M187" s="10"/>
      <c r="N187" s="10"/>
    </row>
    <row r="188" spans="1:30">
      <c r="A188" s="22" t="s">
        <v>47</v>
      </c>
      <c r="B188" s="23">
        <v>23.2</v>
      </c>
      <c r="C188" s="23">
        <v>24.2</v>
      </c>
      <c r="D188" s="23">
        <v>96</v>
      </c>
      <c r="E188" s="23">
        <v>56.2</v>
      </c>
      <c r="F188" s="23">
        <v>83.8</v>
      </c>
      <c r="H188" t="s">
        <v>279</v>
      </c>
      <c r="I188" s="10">
        <f>180*DEVSQ(I185:N185)</f>
        <v>21001.5934166668</v>
      </c>
      <c r="J188" s="10"/>
      <c r="K188" s="10"/>
      <c r="L188" s="10"/>
      <c r="M188" s="10"/>
      <c r="N188" s="10"/>
    </row>
    <row r="189" spans="1:30">
      <c r="A189" s="22" t="s">
        <v>48</v>
      </c>
      <c r="B189" s="23">
        <v>61.6</v>
      </c>
      <c r="C189" s="23">
        <v>72</v>
      </c>
      <c r="D189" s="23">
        <v>93.8</v>
      </c>
      <c r="E189" s="23">
        <v>47.8</v>
      </c>
      <c r="F189" s="23">
        <v>88</v>
      </c>
      <c r="H189" t="s">
        <v>280</v>
      </c>
      <c r="I189" s="10">
        <f>DEVSQ(I5:N184)</f>
        <v>639863.659916666</v>
      </c>
      <c r="J189" s="10"/>
      <c r="K189" s="10"/>
      <c r="L189" s="10"/>
      <c r="M189" s="10"/>
      <c r="N189" s="10"/>
    </row>
    <row r="190" spans="1:30">
      <c r="A190" s="22" t="s">
        <v>49</v>
      </c>
      <c r="B190" s="23">
        <v>47.2</v>
      </c>
      <c r="C190" s="23">
        <v>47</v>
      </c>
      <c r="D190" s="23">
        <v>97</v>
      </c>
      <c r="E190" s="23">
        <v>26.8</v>
      </c>
      <c r="F190" s="23">
        <v>92.3</v>
      </c>
      <c r="H190" t="s">
        <v>281</v>
      </c>
      <c r="I190" s="10">
        <f>I189-I187-I188</f>
        <v>73913.2082499995</v>
      </c>
      <c r="J190" s="10"/>
      <c r="K190" s="10"/>
      <c r="L190" s="10"/>
      <c r="M190" s="10"/>
      <c r="N190" s="10"/>
    </row>
    <row r="191" spans="1:30">
      <c r="A191" s="22" t="s">
        <v>50</v>
      </c>
      <c r="B191" s="23">
        <v>74</v>
      </c>
      <c r="C191" s="23">
        <v>83.8</v>
      </c>
      <c r="D191" s="23">
        <v>90</v>
      </c>
      <c r="E191" s="23">
        <v>62.4</v>
      </c>
      <c r="F191" s="23">
        <v>75.2</v>
      </c>
      <c r="H191" t="s">
        <v>282</v>
      </c>
      <c r="I191" s="10">
        <f>I187/(180-1)</f>
        <v>3044.40702932961</v>
      </c>
      <c r="J191" s="10"/>
      <c r="K191" s="10"/>
      <c r="L191" s="10"/>
      <c r="M191" s="10"/>
      <c r="N191" s="10"/>
    </row>
    <row r="192" spans="1:30">
      <c r="A192" s="22" t="s">
        <v>51</v>
      </c>
      <c r="B192" s="23">
        <v>68.2</v>
      </c>
      <c r="C192" s="23">
        <v>73</v>
      </c>
      <c r="D192" s="23">
        <v>98</v>
      </c>
      <c r="E192" s="23">
        <v>64.8</v>
      </c>
      <c r="F192" s="23">
        <v>87.4</v>
      </c>
      <c r="H192" t="s">
        <v>283</v>
      </c>
      <c r="I192" s="10">
        <f>I188/(6-1)</f>
        <v>4200.31868333336</v>
      </c>
      <c r="J192" s="10"/>
      <c r="K192" s="10"/>
      <c r="L192" s="10"/>
      <c r="M192" s="10"/>
      <c r="N192" s="10"/>
    </row>
    <row r="193" spans="1:14">
      <c r="A193" s="22" t="s">
        <v>54</v>
      </c>
      <c r="B193" s="23">
        <v>0</v>
      </c>
      <c r="C193" s="23">
        <v>66.3</v>
      </c>
      <c r="D193" s="23">
        <v>93.6</v>
      </c>
      <c r="E193" s="23">
        <v>60.2</v>
      </c>
      <c r="F193" s="23">
        <v>91.6</v>
      </c>
      <c r="H193" t="s">
        <v>284</v>
      </c>
      <c r="I193" s="10">
        <f>I190/((180-1)*(6-1))</f>
        <v>82.5845902234631</v>
      </c>
      <c r="J193" s="10"/>
      <c r="K193" s="10"/>
      <c r="L193" s="10"/>
      <c r="M193" s="10"/>
      <c r="N193" s="10"/>
    </row>
    <row r="194" spans="1:14">
      <c r="A194" s="22" t="s">
        <v>52</v>
      </c>
      <c r="B194" s="23">
        <v>18.2</v>
      </c>
      <c r="C194" s="23">
        <v>46.8</v>
      </c>
      <c r="D194" s="23">
        <v>87.4</v>
      </c>
      <c r="E194" s="23">
        <v>20.4</v>
      </c>
      <c r="F194" s="23">
        <v>87.6</v>
      </c>
      <c r="H194" t="s">
        <v>460</v>
      </c>
      <c r="I194" s="24">
        <f>(I191-I193)/(I191+(6-1)*I193)</f>
        <v>0.856679129807353</v>
      </c>
      <c r="J194" s="10"/>
      <c r="K194" s="10"/>
      <c r="L194" s="10"/>
      <c r="M194" s="10"/>
      <c r="N194" s="10"/>
    </row>
    <row r="195" spans="1:14">
      <c r="A195" s="22" t="s">
        <v>53</v>
      </c>
      <c r="B195" s="23">
        <v>72</v>
      </c>
      <c r="C195" s="23">
        <v>74</v>
      </c>
      <c r="D195" s="23">
        <v>99</v>
      </c>
      <c r="E195" s="23">
        <v>62</v>
      </c>
      <c r="F195" s="23">
        <v>86.4</v>
      </c>
      <c r="H195" t="s">
        <v>461</v>
      </c>
      <c r="I195" s="10">
        <f>(I191-I193)/(I191+(6-1)*I193+6*(I192-I193)/180)</f>
        <v>0.82396720220881</v>
      </c>
      <c r="J195" s="10"/>
      <c r="K195" s="10"/>
      <c r="L195" s="10"/>
      <c r="M195" s="10"/>
      <c r="N195" s="10"/>
    </row>
    <row r="196" spans="1:14">
      <c r="A196" s="22" t="s">
        <v>55</v>
      </c>
      <c r="B196" s="23">
        <v>74</v>
      </c>
      <c r="C196" s="23">
        <v>47</v>
      </c>
      <c r="D196" s="23">
        <v>92</v>
      </c>
      <c r="E196" s="23">
        <v>66.5</v>
      </c>
      <c r="F196" s="23">
        <v>66.8</v>
      </c>
      <c r="H196" t="s">
        <v>295</v>
      </c>
      <c r="I196" s="10">
        <f>I191/I193</f>
        <v>36.8641052900044</v>
      </c>
      <c r="J196" s="10"/>
      <c r="K196" s="10"/>
      <c r="L196" s="10"/>
      <c r="M196" s="10"/>
      <c r="N196" s="10"/>
    </row>
    <row r="197" spans="1:14">
      <c r="A197" s="2" t="s">
        <v>449</v>
      </c>
      <c r="B197" s="2" t="s">
        <v>346</v>
      </c>
      <c r="C197" s="2" t="s">
        <v>347</v>
      </c>
      <c r="D197" s="2" t="s">
        <v>348</v>
      </c>
      <c r="E197" s="2" t="s">
        <v>349</v>
      </c>
      <c r="F197" s="2" t="s">
        <v>350</v>
      </c>
      <c r="H197" t="s">
        <v>462</v>
      </c>
      <c r="I197" s="10">
        <f>FINV(0.975,179,895)</f>
        <v>0.789580744474305</v>
      </c>
      <c r="J197" s="10"/>
      <c r="K197" s="10"/>
      <c r="L197" s="10"/>
      <c r="M197" s="10"/>
      <c r="N197" s="10"/>
    </row>
    <row r="198" spans="1:14">
      <c r="A198" s="22" t="s">
        <v>20</v>
      </c>
      <c r="B198" s="23">
        <v>33.2</v>
      </c>
      <c r="C198" s="22">
        <v>76.4</v>
      </c>
      <c r="D198" s="23">
        <v>88</v>
      </c>
      <c r="E198" s="23">
        <v>65.4</v>
      </c>
      <c r="F198" s="23">
        <v>81</v>
      </c>
      <c r="H198" t="s">
        <v>463</v>
      </c>
      <c r="I198" s="10">
        <f>FINV(0.025,179,895)</f>
        <v>1.24457249113763</v>
      </c>
      <c r="J198" s="10"/>
      <c r="K198" s="10"/>
      <c r="L198" s="10"/>
      <c r="M198" s="10"/>
      <c r="N198" s="10"/>
    </row>
    <row r="199" spans="1:14">
      <c r="A199" s="22" t="s">
        <v>21</v>
      </c>
      <c r="B199" s="23">
        <v>37</v>
      </c>
      <c r="C199" s="22">
        <v>73.5</v>
      </c>
      <c r="D199" s="23">
        <v>94.6</v>
      </c>
      <c r="E199" s="23">
        <v>60.4</v>
      </c>
      <c r="F199" s="23">
        <v>84.9</v>
      </c>
      <c r="H199" t="s">
        <v>298</v>
      </c>
      <c r="I199" s="24">
        <f>(I196-I198)/(I196+5*I198)</f>
        <v>0.826689244160787</v>
      </c>
      <c r="J199" s="10"/>
      <c r="K199" s="10"/>
      <c r="L199" s="10"/>
      <c r="M199" s="10"/>
      <c r="N199" s="10"/>
    </row>
    <row r="200" spans="1:14">
      <c r="A200" s="22" t="s">
        <v>22</v>
      </c>
      <c r="B200" s="23">
        <v>67.8</v>
      </c>
      <c r="C200" s="22">
        <v>3.4</v>
      </c>
      <c r="D200" s="23">
        <v>64</v>
      </c>
      <c r="E200" s="23">
        <v>30.3</v>
      </c>
      <c r="F200" s="23">
        <v>72.4</v>
      </c>
      <c r="H200" t="s">
        <v>299</v>
      </c>
      <c r="I200" s="24">
        <f>(I196-I197)/(I196+5*I197)</f>
        <v>0.883919351644531</v>
      </c>
      <c r="J200" s="10"/>
      <c r="K200" s="10"/>
      <c r="L200" s="10"/>
      <c r="M200" s="10"/>
      <c r="N200" s="10"/>
    </row>
    <row r="201" spans="1:14">
      <c r="A201" s="22" t="s">
        <v>23</v>
      </c>
      <c r="B201" s="23">
        <v>71.6</v>
      </c>
      <c r="C201" s="22">
        <v>51.2</v>
      </c>
      <c r="D201" s="23">
        <v>38.8</v>
      </c>
      <c r="E201" s="23">
        <v>58.2</v>
      </c>
      <c r="F201" s="23">
        <v>90.8</v>
      </c>
    </row>
    <row r="202" spans="1:14">
      <c r="A202" s="22" t="s">
        <v>24</v>
      </c>
      <c r="B202" s="23">
        <v>38.2</v>
      </c>
      <c r="C202" s="22">
        <v>74</v>
      </c>
      <c r="D202" s="23">
        <v>94</v>
      </c>
      <c r="E202" s="23">
        <v>53</v>
      </c>
      <c r="F202" s="23">
        <v>64</v>
      </c>
    </row>
    <row r="203" spans="1:14">
      <c r="A203" s="22" t="s">
        <v>25</v>
      </c>
      <c r="B203" s="23">
        <v>65</v>
      </c>
      <c r="C203" s="22">
        <v>89.5</v>
      </c>
      <c r="D203" s="23">
        <v>96</v>
      </c>
      <c r="E203" s="23">
        <v>67.9</v>
      </c>
      <c r="F203" s="23">
        <v>94.6</v>
      </c>
    </row>
    <row r="204" spans="1:14">
      <c r="A204" s="22" t="s">
        <v>26</v>
      </c>
      <c r="B204" s="23">
        <v>74.6</v>
      </c>
      <c r="C204" s="22">
        <v>81.7</v>
      </c>
      <c r="D204" s="23">
        <v>96</v>
      </c>
      <c r="E204" s="23">
        <v>79.2</v>
      </c>
      <c r="F204" s="23">
        <v>70.4</v>
      </c>
    </row>
    <row r="205" spans="1:14">
      <c r="A205" s="22" t="s">
        <v>27</v>
      </c>
      <c r="B205" s="23">
        <v>64.1</v>
      </c>
      <c r="C205" s="22">
        <v>71.2</v>
      </c>
      <c r="D205" s="23">
        <v>95</v>
      </c>
      <c r="E205" s="23">
        <v>69</v>
      </c>
      <c r="F205" s="23">
        <v>90.8</v>
      </c>
    </row>
    <row r="206" spans="1:14">
      <c r="A206" s="22" t="s">
        <v>28</v>
      </c>
      <c r="B206" s="23">
        <v>65.3</v>
      </c>
      <c r="C206" s="22">
        <v>74</v>
      </c>
      <c r="D206" s="23">
        <v>96.8</v>
      </c>
      <c r="E206" s="23">
        <v>72.2</v>
      </c>
      <c r="F206" s="23">
        <v>89.2</v>
      </c>
    </row>
    <row r="207" spans="1:14">
      <c r="A207" s="22" t="s">
        <v>29</v>
      </c>
      <c r="B207" s="23">
        <v>0</v>
      </c>
      <c r="C207" s="22">
        <v>70.2</v>
      </c>
      <c r="D207" s="23">
        <v>29.4</v>
      </c>
      <c r="E207" s="23">
        <v>13.4</v>
      </c>
      <c r="F207" s="23">
        <v>82</v>
      </c>
    </row>
    <row r="208" spans="1:14">
      <c r="A208" s="22" t="s">
        <v>30</v>
      </c>
      <c r="B208" s="23">
        <v>42.2</v>
      </c>
      <c r="C208" s="22">
        <v>73.4</v>
      </c>
      <c r="D208" s="23">
        <v>96</v>
      </c>
      <c r="E208" s="23">
        <v>78.4</v>
      </c>
      <c r="F208" s="23">
        <v>87.4</v>
      </c>
    </row>
    <row r="209" spans="1:6">
      <c r="A209" s="22" t="s">
        <v>31</v>
      </c>
      <c r="B209" s="23">
        <v>63.6</v>
      </c>
      <c r="C209" s="22">
        <v>56.8</v>
      </c>
      <c r="D209" s="23">
        <v>95.2</v>
      </c>
      <c r="E209" s="23">
        <v>73.4</v>
      </c>
      <c r="F209" s="23">
        <v>76.2</v>
      </c>
    </row>
    <row r="210" spans="1:6">
      <c r="A210" s="22" t="s">
        <v>32</v>
      </c>
      <c r="B210" s="23">
        <v>24.4</v>
      </c>
      <c r="C210" s="22">
        <v>53.8</v>
      </c>
      <c r="D210" s="23">
        <v>97</v>
      </c>
      <c r="E210" s="23">
        <v>57.4</v>
      </c>
      <c r="F210" s="23">
        <v>86.4</v>
      </c>
    </row>
    <row r="211" spans="1:6">
      <c r="A211" s="22" t="s">
        <v>33</v>
      </c>
      <c r="B211" s="23">
        <v>33.8</v>
      </c>
      <c r="C211" s="22">
        <v>66</v>
      </c>
      <c r="D211" s="23">
        <v>89.6</v>
      </c>
      <c r="E211" s="23">
        <v>61</v>
      </c>
      <c r="F211" s="23">
        <v>86</v>
      </c>
    </row>
    <row r="212" spans="1:6">
      <c r="A212" s="22" t="s">
        <v>34</v>
      </c>
      <c r="B212" s="23">
        <v>58.6</v>
      </c>
      <c r="C212" s="22">
        <v>87.3</v>
      </c>
      <c r="D212" s="23">
        <v>90.4</v>
      </c>
      <c r="E212" s="23">
        <v>54.2</v>
      </c>
      <c r="F212" s="23">
        <v>92</v>
      </c>
    </row>
    <row r="213" spans="1:6">
      <c r="A213" s="22" t="s">
        <v>35</v>
      </c>
      <c r="B213" s="23">
        <v>23</v>
      </c>
      <c r="C213" s="22">
        <v>22</v>
      </c>
      <c r="D213" s="23">
        <v>85.8</v>
      </c>
      <c r="E213" s="23">
        <v>43.8</v>
      </c>
      <c r="F213" s="23">
        <v>83.6</v>
      </c>
    </row>
    <row r="214" spans="1:6">
      <c r="A214" s="22" t="s">
        <v>36</v>
      </c>
      <c r="B214" s="23">
        <v>68.5</v>
      </c>
      <c r="C214" s="22">
        <v>52.4</v>
      </c>
      <c r="D214" s="23">
        <v>88.8</v>
      </c>
      <c r="E214" s="23">
        <v>30.8</v>
      </c>
      <c r="F214" s="23">
        <v>82.2</v>
      </c>
    </row>
    <row r="215" spans="1:6">
      <c r="A215" s="22" t="s">
        <v>37</v>
      </c>
      <c r="B215" s="23">
        <v>60.4</v>
      </c>
      <c r="C215" s="22">
        <v>74.4</v>
      </c>
      <c r="D215" s="23">
        <v>96.8</v>
      </c>
      <c r="E215" s="23">
        <v>59</v>
      </c>
      <c r="F215" s="23">
        <v>86.6</v>
      </c>
    </row>
    <row r="216" spans="1:6">
      <c r="A216" s="22" t="s">
        <v>38</v>
      </c>
      <c r="B216" s="23">
        <v>76.2</v>
      </c>
      <c r="C216" s="22">
        <v>78.8</v>
      </c>
      <c r="D216" s="23">
        <v>98</v>
      </c>
      <c r="E216" s="23">
        <v>66.8</v>
      </c>
      <c r="F216" s="23">
        <v>86.9</v>
      </c>
    </row>
    <row r="217" spans="1:6">
      <c r="A217" s="22" t="s">
        <v>39</v>
      </c>
      <c r="B217" s="23">
        <v>0</v>
      </c>
      <c r="C217" s="22">
        <v>13</v>
      </c>
      <c r="D217" s="23">
        <v>95</v>
      </c>
      <c r="E217" s="23">
        <v>60.8</v>
      </c>
      <c r="F217" s="23">
        <v>83.2</v>
      </c>
    </row>
    <row r="218" spans="1:6">
      <c r="A218" s="22" t="s">
        <v>40</v>
      </c>
      <c r="B218" s="23">
        <v>26</v>
      </c>
      <c r="C218" s="22">
        <v>69.7</v>
      </c>
      <c r="D218" s="23">
        <v>95.2</v>
      </c>
      <c r="E218" s="23">
        <v>73.8</v>
      </c>
      <c r="F218" s="23">
        <v>38</v>
      </c>
    </row>
    <row r="219" spans="1:6">
      <c r="A219" s="22" t="s">
        <v>41</v>
      </c>
      <c r="B219" s="23">
        <v>66.8</v>
      </c>
      <c r="C219" s="22">
        <v>44.4</v>
      </c>
      <c r="D219" s="23">
        <v>28</v>
      </c>
      <c r="E219" s="23">
        <v>36</v>
      </c>
      <c r="F219" s="23">
        <v>15.4</v>
      </c>
    </row>
    <row r="220" spans="1:6">
      <c r="A220" s="22" t="s">
        <v>42</v>
      </c>
      <c r="B220" s="23">
        <v>79</v>
      </c>
      <c r="C220" s="22">
        <v>77.8</v>
      </c>
      <c r="D220" s="23">
        <v>100</v>
      </c>
      <c r="E220" s="23">
        <v>67.2</v>
      </c>
      <c r="F220" s="23">
        <v>88.2</v>
      </c>
    </row>
    <row r="221" spans="1:6">
      <c r="A221" s="22" t="s">
        <v>43</v>
      </c>
      <c r="B221" s="23">
        <v>64.2</v>
      </c>
      <c r="C221" s="22">
        <v>5</v>
      </c>
      <c r="D221" s="23">
        <v>44.6</v>
      </c>
      <c r="E221" s="23">
        <v>60.4</v>
      </c>
      <c r="F221" s="23">
        <v>60.6</v>
      </c>
    </row>
    <row r="222" spans="1:6">
      <c r="A222" s="22" t="s">
        <v>44</v>
      </c>
      <c r="B222" s="23">
        <v>77.5</v>
      </c>
      <c r="C222" s="22">
        <v>86.7</v>
      </c>
      <c r="D222" s="23">
        <v>97.6</v>
      </c>
      <c r="E222" s="23">
        <v>67.8</v>
      </c>
      <c r="F222" s="23">
        <v>77.8</v>
      </c>
    </row>
    <row r="223" spans="1:6">
      <c r="A223" s="22" t="s">
        <v>46</v>
      </c>
      <c r="B223" s="23">
        <v>0</v>
      </c>
      <c r="C223" s="22">
        <v>0</v>
      </c>
      <c r="D223" s="23">
        <v>57.6</v>
      </c>
      <c r="E223" s="23">
        <v>67.8</v>
      </c>
      <c r="F223" s="23">
        <v>76.8</v>
      </c>
    </row>
    <row r="224" spans="1:6">
      <c r="A224" s="22" t="s">
        <v>45</v>
      </c>
      <c r="B224" s="23">
        <v>2.4</v>
      </c>
      <c r="C224" s="22">
        <v>43.6</v>
      </c>
      <c r="D224" s="23">
        <v>83.4</v>
      </c>
      <c r="E224" s="23">
        <v>53.6</v>
      </c>
      <c r="F224" s="23">
        <v>86</v>
      </c>
    </row>
    <row r="225" spans="1:6">
      <c r="A225" s="22" t="s">
        <v>47</v>
      </c>
      <c r="B225" s="23">
        <v>19</v>
      </c>
      <c r="C225" s="22">
        <v>13.6</v>
      </c>
      <c r="D225" s="23">
        <v>94.8</v>
      </c>
      <c r="E225" s="23">
        <v>60.2</v>
      </c>
      <c r="F225" s="23">
        <v>75.2</v>
      </c>
    </row>
    <row r="226" spans="1:6">
      <c r="A226" s="22" t="s">
        <v>48</v>
      </c>
      <c r="B226" s="23">
        <v>50.8</v>
      </c>
      <c r="C226" s="22">
        <v>72.6</v>
      </c>
      <c r="D226" s="23">
        <v>95.6</v>
      </c>
      <c r="E226" s="23">
        <v>46</v>
      </c>
      <c r="F226" s="23">
        <v>83.4</v>
      </c>
    </row>
    <row r="227" spans="1:6">
      <c r="A227" s="22" t="s">
        <v>49</v>
      </c>
      <c r="B227" s="23">
        <v>42.5</v>
      </c>
      <c r="C227" s="22">
        <v>74.6</v>
      </c>
      <c r="D227" s="23">
        <v>98</v>
      </c>
      <c r="E227" s="23">
        <v>20.8</v>
      </c>
      <c r="F227" s="23">
        <v>87.2</v>
      </c>
    </row>
    <row r="228" spans="1:6">
      <c r="A228" s="22" t="s">
        <v>50</v>
      </c>
      <c r="B228" s="23">
        <v>48.2</v>
      </c>
      <c r="C228" s="22">
        <v>76.2</v>
      </c>
      <c r="D228" s="23">
        <v>93.8</v>
      </c>
      <c r="E228" s="23">
        <v>67.6</v>
      </c>
      <c r="F228" s="23">
        <v>64.6</v>
      </c>
    </row>
    <row r="229" spans="1:6">
      <c r="A229" s="22" t="s">
        <v>51</v>
      </c>
      <c r="B229" s="23">
        <v>65.3</v>
      </c>
      <c r="C229" s="22">
        <v>72.4</v>
      </c>
      <c r="D229" s="23">
        <v>91.4</v>
      </c>
      <c r="E229" s="23">
        <v>78.2</v>
      </c>
      <c r="F229" s="23">
        <v>92.8</v>
      </c>
    </row>
    <row r="230" spans="1:6">
      <c r="A230" s="22" t="s">
        <v>54</v>
      </c>
      <c r="B230" s="23">
        <v>0</v>
      </c>
      <c r="C230" s="22">
        <v>63.8</v>
      </c>
      <c r="D230" s="23">
        <v>93</v>
      </c>
      <c r="E230" s="23">
        <v>50</v>
      </c>
      <c r="F230" s="23">
        <v>75.1</v>
      </c>
    </row>
    <row r="231" spans="1:6">
      <c r="A231" s="22" t="s">
        <v>52</v>
      </c>
      <c r="B231" s="23">
        <v>13.2</v>
      </c>
      <c r="C231" s="22">
        <v>50</v>
      </c>
      <c r="D231" s="23">
        <v>94</v>
      </c>
      <c r="E231" s="23">
        <v>31.6</v>
      </c>
      <c r="F231" s="23">
        <v>86.2</v>
      </c>
    </row>
    <row r="232" spans="1:6">
      <c r="A232" s="22" t="s">
        <v>53</v>
      </c>
      <c r="B232" s="23">
        <v>67.1</v>
      </c>
      <c r="C232" s="22">
        <v>74.4</v>
      </c>
      <c r="D232" s="23">
        <v>93</v>
      </c>
      <c r="E232" s="23">
        <v>74.9</v>
      </c>
      <c r="F232" s="23">
        <v>91.4</v>
      </c>
    </row>
    <row r="233" spans="1:6">
      <c r="A233" s="22" t="s">
        <v>55</v>
      </c>
      <c r="B233" s="23">
        <v>71</v>
      </c>
      <c r="C233" s="22">
        <v>72.6</v>
      </c>
      <c r="D233" s="23">
        <v>90.4</v>
      </c>
      <c r="E233" s="23">
        <v>46.4</v>
      </c>
      <c r="F233" s="23">
        <v>70</v>
      </c>
    </row>
    <row r="243" spans="1:4">
      <c r="A243" s="2" t="s">
        <v>464</v>
      </c>
      <c r="B243" s="2" t="s">
        <v>465</v>
      </c>
      <c r="C243" s="2" t="s">
        <v>466</v>
      </c>
      <c r="D243" s="2" t="s">
        <v>467</v>
      </c>
    </row>
    <row r="244" spans="1:4">
      <c r="A244" t="s">
        <v>468</v>
      </c>
      <c r="B244" s="12" cm="1">
        <f t="array" ref="B244">TTEST(Q5:Q184,R5:R184,2,1)</f>
        <v>0.98295801439974</v>
      </c>
      <c r="C244" s="13" cm="1">
        <f t="array" ref="C244">TTEST(Q5:Q184,R5:R184,2,1)</f>
        <v>0.98295801439974</v>
      </c>
      <c r="D244" s="13">
        <f>AVERAGE(R5:R184)-AVERAGE(Q5:Q184)</f>
        <v>-0.0172222222221592</v>
      </c>
    </row>
    <row r="245" spans="1:4">
      <c r="A245" s="25" t="s">
        <v>469</v>
      </c>
      <c r="B245" s="26" cm="1">
        <f t="array" ref="B245">TTEST(T5:T184,U5:U184,2,1)</f>
        <v>0.286736218279608</v>
      </c>
      <c r="C245" s="27" cm="1">
        <f t="array" ref="C245">TTEST(T5:T184,U5:U184,2,1)</f>
        <v>0.286736218279608</v>
      </c>
      <c r="D245" s="27">
        <f>AVERAGE(U5:U184)-AVERAGE(T5:T184)</f>
        <v>-1.23666666666668</v>
      </c>
    </row>
    <row r="246" spans="1:4">
      <c r="A246" t="s">
        <v>470</v>
      </c>
      <c r="B246" s="12" cm="1">
        <f t="array" ref="B246">TTEST(W5:W184,X5:X184,2,1)</f>
        <v>0.444261100817335</v>
      </c>
      <c r="C246" s="13" cm="1">
        <f t="array" ref="C246">TTEST(W5:W184,X5:X184,2,1)</f>
        <v>0.444261100817335</v>
      </c>
      <c r="D246" s="13">
        <f>AVERAGE(X5:X184)-AVERAGE(W5:W184)</f>
        <v>0.603333333333339</v>
      </c>
    </row>
    <row r="247" spans="1:4">
      <c r="A247" t="s">
        <v>471</v>
      </c>
      <c r="B247" s="12" cm="1">
        <f t="array" ref="B247">TTEST(Z5:Z184,AA5:AA184,2,1)</f>
        <v>0.148081511283955</v>
      </c>
      <c r="C247" s="13" cm="1">
        <f t="array" ref="C247">TTEST(Z5:Z184,AA5:AA184,2,1)</f>
        <v>0.148081511283955</v>
      </c>
      <c r="D247" s="13">
        <f>AVERAGE(AA5:AA184)-AVERAGE(Z5:Z184)</f>
        <v>-1.59611111111113</v>
      </c>
    </row>
    <row r="248" spans="1:4">
      <c r="A248" t="s">
        <v>472</v>
      </c>
      <c r="B248" s="12" cm="1">
        <f t="array" ref="B248">TTEST(AC5:AC184,AD5:AD184,2,1)</f>
        <v>8.14727304064351e-10</v>
      </c>
      <c r="C248" s="28" cm="1">
        <f t="array" ref="C248">TTEST(AC5:AC184,AD5:AD184,2,1)</f>
        <v>8.14727304064351e-10</v>
      </c>
      <c r="D248" s="13">
        <f>AVERAGE(AD5:AD184)-AVERAGE(AC5:AC184)</f>
        <v>-7.61722222222222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9"/>
  <sheetViews>
    <sheetView zoomScale="160" zoomScaleNormal="160" workbookViewId="0">
      <selection activeCell="D194" sqref="D194"/>
    </sheetView>
  </sheetViews>
  <sheetFormatPr defaultColWidth="9" defaultRowHeight="13.5" outlineLevelCol="4"/>
  <cols>
    <col min="1" max="1" width="26.4833333333333" customWidth="1"/>
    <col min="2" max="2" width="16.8" customWidth="1"/>
    <col min="3" max="3" width="26.5583333333333" customWidth="1"/>
    <col min="4" max="4" width="17.9666666666667" customWidth="1"/>
    <col min="5" max="5" width="21.875" customWidth="1"/>
  </cols>
  <sheetData>
    <row r="1" ht="15" spans="1:5">
      <c r="A1" s="11" t="s">
        <v>473</v>
      </c>
    </row>
    <row r="4" spans="1:5">
      <c r="A4" s="2" t="s">
        <v>86</v>
      </c>
      <c r="B4" s="2" t="s">
        <v>474</v>
      </c>
      <c r="C4" s="2" t="s">
        <v>475</v>
      </c>
      <c r="D4" s="2" t="s">
        <v>476</v>
      </c>
      <c r="E4" s="2" t="s">
        <v>477</v>
      </c>
    </row>
    <row r="5" spans="1:5">
      <c r="A5" t="s">
        <v>96</v>
      </c>
      <c r="B5">
        <v>43.6</v>
      </c>
      <c r="C5">
        <v>63.6</v>
      </c>
      <c r="D5">
        <v>39.1</v>
      </c>
      <c r="E5">
        <v>52.6</v>
      </c>
    </row>
    <row r="6" spans="1:5">
      <c r="A6" t="s">
        <v>97</v>
      </c>
      <c r="B6">
        <v>56.8</v>
      </c>
      <c r="C6">
        <v>82.6</v>
      </c>
      <c r="D6">
        <v>30</v>
      </c>
      <c r="E6">
        <v>79</v>
      </c>
    </row>
    <row r="7" spans="1:5">
      <c r="A7" t="s">
        <v>98</v>
      </c>
      <c r="B7">
        <v>82.4</v>
      </c>
      <c r="C7">
        <v>89.8</v>
      </c>
      <c r="D7">
        <v>69.4</v>
      </c>
      <c r="E7">
        <v>93.8</v>
      </c>
    </row>
    <row r="8" spans="1:5">
      <c r="A8" t="s">
        <v>99</v>
      </c>
      <c r="B8">
        <v>83.8</v>
      </c>
      <c r="C8">
        <v>88.8</v>
      </c>
      <c r="D8">
        <v>74.8</v>
      </c>
      <c r="E8">
        <v>93.4</v>
      </c>
    </row>
    <row r="9" spans="1:5">
      <c r="A9" t="s">
        <v>100</v>
      </c>
      <c r="B9">
        <v>75</v>
      </c>
      <c r="C9">
        <v>86.6</v>
      </c>
      <c r="D9">
        <v>78.2</v>
      </c>
      <c r="E9">
        <v>79</v>
      </c>
    </row>
    <row r="10" spans="1:5">
      <c r="A10" t="s">
        <v>101</v>
      </c>
      <c r="B10">
        <v>74.4</v>
      </c>
      <c r="C10">
        <v>87</v>
      </c>
      <c r="D10">
        <v>62.5</v>
      </c>
      <c r="E10">
        <v>87.8</v>
      </c>
    </row>
    <row r="11" spans="1:5">
      <c r="A11" t="s">
        <v>102</v>
      </c>
      <c r="B11">
        <v>77.6</v>
      </c>
      <c r="C11">
        <v>89.4</v>
      </c>
      <c r="D11">
        <v>50.5</v>
      </c>
      <c r="E11">
        <v>89</v>
      </c>
    </row>
    <row r="12" spans="1:5">
      <c r="A12" t="s">
        <v>103</v>
      </c>
      <c r="B12">
        <v>76.2</v>
      </c>
      <c r="C12">
        <v>89.4</v>
      </c>
      <c r="D12">
        <v>72</v>
      </c>
      <c r="E12">
        <v>85.2</v>
      </c>
    </row>
    <row r="13" spans="1:5">
      <c r="A13" t="s">
        <v>104</v>
      </c>
      <c r="B13">
        <v>71.8</v>
      </c>
      <c r="C13">
        <v>87.8</v>
      </c>
      <c r="D13">
        <v>71.2</v>
      </c>
      <c r="E13">
        <v>0</v>
      </c>
    </row>
    <row r="14" spans="1:5">
      <c r="A14" t="s">
        <v>105</v>
      </c>
      <c r="B14">
        <v>0</v>
      </c>
      <c r="C14">
        <v>8</v>
      </c>
      <c r="D14">
        <v>0</v>
      </c>
      <c r="E14">
        <v>81.6</v>
      </c>
    </row>
    <row r="15" spans="1:5">
      <c r="A15" t="s">
        <v>106</v>
      </c>
      <c r="B15">
        <v>80</v>
      </c>
      <c r="C15">
        <v>89</v>
      </c>
      <c r="D15">
        <v>75.5</v>
      </c>
      <c r="E15">
        <v>33</v>
      </c>
    </row>
    <row r="16" spans="1:5">
      <c r="A16" t="s">
        <v>107</v>
      </c>
      <c r="B16">
        <v>72.2</v>
      </c>
      <c r="C16">
        <v>86.6</v>
      </c>
      <c r="D16">
        <v>66.2</v>
      </c>
      <c r="E16">
        <v>79.6</v>
      </c>
    </row>
    <row r="17" spans="1:5">
      <c r="A17" t="s">
        <v>108</v>
      </c>
      <c r="B17">
        <v>31.8</v>
      </c>
      <c r="C17">
        <v>75.4</v>
      </c>
      <c r="D17">
        <v>55.4</v>
      </c>
      <c r="E17">
        <v>30</v>
      </c>
    </row>
    <row r="18" spans="1:5">
      <c r="A18" t="s">
        <v>109</v>
      </c>
      <c r="B18">
        <v>39.6</v>
      </c>
      <c r="C18">
        <v>75.4</v>
      </c>
      <c r="D18">
        <v>30</v>
      </c>
      <c r="E18">
        <v>79</v>
      </c>
    </row>
    <row r="19" spans="1:5">
      <c r="A19" t="s">
        <v>110</v>
      </c>
      <c r="B19">
        <v>71</v>
      </c>
      <c r="C19">
        <v>85.8</v>
      </c>
      <c r="D19">
        <v>61.6</v>
      </c>
      <c r="E19">
        <v>82.8</v>
      </c>
    </row>
    <row r="20" spans="1:5">
      <c r="A20" t="s">
        <v>111</v>
      </c>
      <c r="B20">
        <v>37.4</v>
      </c>
      <c r="C20">
        <v>21</v>
      </c>
      <c r="D20">
        <v>21</v>
      </c>
      <c r="E20">
        <v>79</v>
      </c>
    </row>
    <row r="21" spans="1:5">
      <c r="A21" t="s">
        <v>112</v>
      </c>
      <c r="B21">
        <v>71.6</v>
      </c>
      <c r="C21">
        <v>85.6</v>
      </c>
      <c r="D21">
        <v>51</v>
      </c>
      <c r="E21">
        <v>85.2</v>
      </c>
    </row>
    <row r="22" spans="1:5">
      <c r="A22" t="s">
        <v>113</v>
      </c>
      <c r="B22">
        <v>74.2</v>
      </c>
      <c r="C22">
        <v>89.4</v>
      </c>
      <c r="D22">
        <v>56.4</v>
      </c>
      <c r="E22">
        <v>85.2</v>
      </c>
    </row>
    <row r="23" spans="1:5">
      <c r="A23" t="s">
        <v>114</v>
      </c>
      <c r="B23">
        <v>81.2</v>
      </c>
      <c r="C23">
        <v>93.6</v>
      </c>
      <c r="D23">
        <v>81.4</v>
      </c>
      <c r="E23">
        <v>93</v>
      </c>
    </row>
    <row r="24" spans="1:5">
      <c r="A24" t="s">
        <v>115</v>
      </c>
      <c r="B24">
        <v>16.4</v>
      </c>
      <c r="C24">
        <v>19.8</v>
      </c>
      <c r="D24">
        <v>0</v>
      </c>
      <c r="E24">
        <v>3</v>
      </c>
    </row>
    <row r="25" spans="1:5">
      <c r="A25" t="s">
        <v>116</v>
      </c>
      <c r="B25">
        <v>60</v>
      </c>
      <c r="C25">
        <v>80.2</v>
      </c>
      <c r="D25">
        <v>20.8</v>
      </c>
      <c r="E25">
        <v>25.2</v>
      </c>
    </row>
    <row r="26" spans="1:5">
      <c r="A26" t="s">
        <v>117</v>
      </c>
      <c r="B26">
        <v>86</v>
      </c>
      <c r="C26">
        <v>90</v>
      </c>
      <c r="D26">
        <v>85.4</v>
      </c>
      <c r="E26">
        <v>89.6</v>
      </c>
    </row>
    <row r="27" spans="1:5">
      <c r="A27" t="s">
        <v>118</v>
      </c>
      <c r="B27">
        <v>77.6</v>
      </c>
      <c r="C27">
        <v>90</v>
      </c>
      <c r="D27">
        <v>61</v>
      </c>
      <c r="E27">
        <v>89.6</v>
      </c>
    </row>
    <row r="28" spans="1:5">
      <c r="A28" t="s">
        <v>119</v>
      </c>
      <c r="B28">
        <v>48.2</v>
      </c>
      <c r="C28">
        <v>82.2</v>
      </c>
      <c r="D28">
        <v>41.4</v>
      </c>
      <c r="E28">
        <v>67.8</v>
      </c>
    </row>
    <row r="29" spans="1:5">
      <c r="A29" t="s">
        <v>120</v>
      </c>
      <c r="B29">
        <v>81.3</v>
      </c>
      <c r="C29">
        <v>91.6</v>
      </c>
      <c r="D29">
        <v>47</v>
      </c>
      <c r="E29">
        <v>94.2</v>
      </c>
    </row>
    <row r="30" spans="1:5">
      <c r="A30" t="s">
        <v>121</v>
      </c>
      <c r="B30">
        <v>0</v>
      </c>
      <c r="C30">
        <v>0</v>
      </c>
      <c r="D30">
        <v>0</v>
      </c>
      <c r="E30">
        <v>0</v>
      </c>
    </row>
    <row r="31" spans="1:5">
      <c r="A31" t="s">
        <v>122</v>
      </c>
      <c r="B31">
        <v>25.2</v>
      </c>
      <c r="C31">
        <v>23</v>
      </c>
      <c r="D31">
        <v>20.8</v>
      </c>
      <c r="E31">
        <v>17.6</v>
      </c>
    </row>
    <row r="32" spans="1:5">
      <c r="A32" t="s">
        <v>123</v>
      </c>
      <c r="B32">
        <v>20.4</v>
      </c>
      <c r="C32">
        <v>23</v>
      </c>
      <c r="D32">
        <v>6.6</v>
      </c>
      <c r="E32">
        <v>17.6</v>
      </c>
    </row>
    <row r="33" spans="1:5">
      <c r="A33" t="s">
        <v>124</v>
      </c>
      <c r="B33">
        <v>64.6</v>
      </c>
      <c r="C33">
        <v>82.4</v>
      </c>
      <c r="D33">
        <v>70.4</v>
      </c>
      <c r="E33">
        <v>76.8</v>
      </c>
    </row>
    <row r="34" spans="1:5">
      <c r="A34" t="s">
        <v>125</v>
      </c>
      <c r="B34">
        <v>72.6</v>
      </c>
      <c r="C34">
        <v>82.4</v>
      </c>
      <c r="D34">
        <v>48.8</v>
      </c>
      <c r="E34">
        <v>76.8</v>
      </c>
    </row>
    <row r="35" spans="1:5">
      <c r="A35" t="s">
        <v>126</v>
      </c>
      <c r="B35">
        <v>84.2</v>
      </c>
      <c r="C35">
        <v>91.6</v>
      </c>
      <c r="D35">
        <v>62.6</v>
      </c>
      <c r="E35">
        <v>94.2</v>
      </c>
    </row>
    <row r="36" spans="1:5">
      <c r="A36" t="s">
        <v>127</v>
      </c>
      <c r="B36">
        <v>82.2</v>
      </c>
      <c r="C36">
        <v>75.2</v>
      </c>
      <c r="D36">
        <v>75.6</v>
      </c>
      <c r="E36">
        <v>75.6</v>
      </c>
    </row>
    <row r="37" spans="1:5">
      <c r="A37" t="s">
        <v>128</v>
      </c>
      <c r="B37">
        <v>0</v>
      </c>
      <c r="C37">
        <v>0</v>
      </c>
      <c r="D37">
        <v>0</v>
      </c>
      <c r="E37">
        <v>28.8</v>
      </c>
    </row>
    <row r="38" spans="1:5">
      <c r="A38" t="s">
        <v>129</v>
      </c>
      <c r="B38">
        <v>16.8</v>
      </c>
      <c r="C38">
        <v>36</v>
      </c>
      <c r="D38">
        <v>28.4</v>
      </c>
      <c r="E38">
        <v>28.8</v>
      </c>
    </row>
    <row r="39" spans="1:5">
      <c r="A39" t="s">
        <v>130</v>
      </c>
      <c r="B39">
        <v>83.1</v>
      </c>
      <c r="C39">
        <v>91.6</v>
      </c>
      <c r="D39">
        <v>66.4</v>
      </c>
      <c r="E39">
        <v>93</v>
      </c>
    </row>
    <row r="40" spans="1:5">
      <c r="A40" t="s">
        <v>131</v>
      </c>
      <c r="B40">
        <v>78.2</v>
      </c>
      <c r="C40">
        <v>84.8</v>
      </c>
      <c r="D40">
        <v>63.8</v>
      </c>
      <c r="E40">
        <v>88</v>
      </c>
    </row>
    <row r="41" spans="1:5">
      <c r="A41" t="s">
        <v>132</v>
      </c>
      <c r="B41">
        <v>85.7</v>
      </c>
      <c r="C41">
        <v>89.8</v>
      </c>
      <c r="D41">
        <v>79.6</v>
      </c>
      <c r="E41">
        <v>92.8</v>
      </c>
    </row>
    <row r="42" spans="1:5">
      <c r="A42" t="s">
        <v>133</v>
      </c>
      <c r="B42">
        <v>82.6</v>
      </c>
      <c r="C42">
        <v>75.6</v>
      </c>
      <c r="D42">
        <v>73</v>
      </c>
      <c r="E42">
        <v>65.8</v>
      </c>
    </row>
    <row r="43" spans="1:5">
      <c r="A43" t="s">
        <v>134</v>
      </c>
      <c r="B43">
        <v>24.8</v>
      </c>
      <c r="C43">
        <v>44.6</v>
      </c>
      <c r="D43">
        <v>39.2</v>
      </c>
      <c r="E43">
        <v>37.2</v>
      </c>
    </row>
    <row r="44" spans="1:5">
      <c r="A44" t="s">
        <v>135</v>
      </c>
      <c r="B44">
        <v>70.2</v>
      </c>
      <c r="C44">
        <v>81.4</v>
      </c>
      <c r="D44">
        <v>42.5</v>
      </c>
      <c r="E44">
        <v>81</v>
      </c>
    </row>
    <row r="45" spans="1:5">
      <c r="A45" t="s">
        <v>136</v>
      </c>
      <c r="B45">
        <v>84.2</v>
      </c>
      <c r="C45">
        <v>87.2</v>
      </c>
      <c r="D45">
        <v>76.8</v>
      </c>
      <c r="E45">
        <v>90.6</v>
      </c>
    </row>
    <row r="46" spans="1:5">
      <c r="A46" t="s">
        <v>137</v>
      </c>
      <c r="B46">
        <v>77.2</v>
      </c>
      <c r="C46">
        <v>91</v>
      </c>
      <c r="D46">
        <v>74.2</v>
      </c>
      <c r="E46">
        <v>89.2</v>
      </c>
    </row>
    <row r="47" spans="1:5">
      <c r="A47" t="s">
        <v>138</v>
      </c>
      <c r="B47">
        <v>77.7</v>
      </c>
      <c r="C47">
        <v>88</v>
      </c>
      <c r="D47">
        <v>79.4</v>
      </c>
      <c r="E47">
        <v>88.4</v>
      </c>
    </row>
    <row r="48" spans="1:5">
      <c r="A48" t="s">
        <v>139</v>
      </c>
      <c r="B48">
        <v>81.5</v>
      </c>
      <c r="C48">
        <v>91</v>
      </c>
      <c r="D48">
        <v>73.4</v>
      </c>
      <c r="E48">
        <v>92.8</v>
      </c>
    </row>
    <row r="49" spans="1:5">
      <c r="A49" t="s">
        <v>140</v>
      </c>
      <c r="B49">
        <v>87.2</v>
      </c>
      <c r="C49">
        <v>92</v>
      </c>
      <c r="D49">
        <v>76.3</v>
      </c>
      <c r="E49">
        <v>92.2</v>
      </c>
    </row>
    <row r="50" spans="1:5">
      <c r="A50" t="s">
        <v>141</v>
      </c>
      <c r="B50">
        <v>81.6</v>
      </c>
      <c r="C50">
        <v>83.4</v>
      </c>
      <c r="D50">
        <v>62.7</v>
      </c>
      <c r="E50">
        <v>76.6</v>
      </c>
    </row>
    <row r="51" spans="1:5">
      <c r="A51" t="s">
        <v>142</v>
      </c>
      <c r="B51">
        <v>92.2</v>
      </c>
      <c r="C51">
        <v>90.8</v>
      </c>
      <c r="D51">
        <v>71.2</v>
      </c>
      <c r="E51">
        <v>90.6</v>
      </c>
    </row>
    <row r="52" spans="1:5">
      <c r="A52" t="s">
        <v>143</v>
      </c>
      <c r="B52">
        <v>74.8</v>
      </c>
      <c r="C52">
        <v>82.2</v>
      </c>
      <c r="D52">
        <v>63.8</v>
      </c>
      <c r="E52">
        <v>76.6</v>
      </c>
    </row>
    <row r="53" spans="1:5">
      <c r="A53" t="s">
        <v>144</v>
      </c>
      <c r="B53">
        <v>81.2</v>
      </c>
      <c r="C53">
        <v>82.2</v>
      </c>
      <c r="D53">
        <v>69</v>
      </c>
      <c r="E53">
        <v>76.2</v>
      </c>
    </row>
    <row r="54" spans="1:5">
      <c r="A54" t="s">
        <v>145</v>
      </c>
      <c r="B54">
        <v>77.4</v>
      </c>
      <c r="C54">
        <v>84</v>
      </c>
      <c r="D54">
        <v>65.6</v>
      </c>
      <c r="E54">
        <v>77</v>
      </c>
    </row>
    <row r="55" spans="1:5">
      <c r="A55" t="s">
        <v>146</v>
      </c>
      <c r="B55">
        <v>80.8</v>
      </c>
      <c r="C55">
        <v>87.2</v>
      </c>
      <c r="D55">
        <v>84.4</v>
      </c>
      <c r="E55">
        <v>92.8</v>
      </c>
    </row>
    <row r="56" spans="1:5">
      <c r="A56" t="s">
        <v>147</v>
      </c>
      <c r="B56">
        <v>35.6</v>
      </c>
      <c r="C56">
        <v>49.4</v>
      </c>
      <c r="D56">
        <v>25.2</v>
      </c>
      <c r="E56">
        <v>47.2</v>
      </c>
    </row>
    <row r="57" spans="1:5">
      <c r="A57" t="s">
        <v>148</v>
      </c>
      <c r="B57">
        <v>74.2</v>
      </c>
      <c r="C57">
        <v>70</v>
      </c>
      <c r="D57">
        <v>62.4</v>
      </c>
      <c r="E57">
        <v>71</v>
      </c>
    </row>
    <row r="58" spans="1:5">
      <c r="A58" t="s">
        <v>149</v>
      </c>
      <c r="B58">
        <v>87.2</v>
      </c>
      <c r="C58">
        <v>91.8</v>
      </c>
      <c r="D58">
        <v>81.2</v>
      </c>
      <c r="E58">
        <v>92.8</v>
      </c>
    </row>
    <row r="59" spans="1:5">
      <c r="A59" t="s">
        <v>150</v>
      </c>
      <c r="B59">
        <v>89.4</v>
      </c>
      <c r="C59">
        <v>93.4</v>
      </c>
      <c r="D59">
        <v>75.4</v>
      </c>
      <c r="E59">
        <v>91.4</v>
      </c>
    </row>
    <row r="60" spans="1:5">
      <c r="A60" t="s">
        <v>151</v>
      </c>
      <c r="B60">
        <v>27.4</v>
      </c>
      <c r="C60">
        <v>45.2</v>
      </c>
      <c r="D60">
        <v>2</v>
      </c>
      <c r="E60">
        <v>25.4</v>
      </c>
    </row>
    <row r="61" spans="1:5">
      <c r="A61" t="s">
        <v>152</v>
      </c>
      <c r="B61">
        <v>79.8</v>
      </c>
      <c r="C61">
        <v>80.8</v>
      </c>
      <c r="D61">
        <v>74</v>
      </c>
      <c r="E61">
        <v>69.4</v>
      </c>
    </row>
    <row r="62" spans="1:5">
      <c r="A62" t="s">
        <v>153</v>
      </c>
      <c r="B62">
        <v>53.4</v>
      </c>
      <c r="C62">
        <v>51.8</v>
      </c>
      <c r="D62">
        <v>45.6</v>
      </c>
      <c r="E62">
        <v>53.4</v>
      </c>
    </row>
    <row r="63" spans="1:5">
      <c r="A63" t="s">
        <v>154</v>
      </c>
      <c r="B63">
        <v>74</v>
      </c>
      <c r="C63">
        <v>78.8</v>
      </c>
      <c r="D63">
        <v>82.1</v>
      </c>
      <c r="E63">
        <v>64</v>
      </c>
    </row>
    <row r="64" spans="1:5">
      <c r="A64" t="s">
        <v>155</v>
      </c>
      <c r="B64">
        <v>12.6</v>
      </c>
      <c r="C64">
        <v>23.8</v>
      </c>
      <c r="D64">
        <v>8</v>
      </c>
      <c r="E64">
        <v>7.2</v>
      </c>
    </row>
    <row r="65" spans="1:5">
      <c r="A65" t="s">
        <v>156</v>
      </c>
      <c r="B65">
        <v>88.4</v>
      </c>
      <c r="C65">
        <v>92.4</v>
      </c>
      <c r="D65">
        <v>83.4</v>
      </c>
      <c r="E65">
        <v>92.4</v>
      </c>
    </row>
    <row r="66" spans="1:5">
      <c r="A66" t="s">
        <v>157</v>
      </c>
      <c r="B66">
        <v>5.8</v>
      </c>
      <c r="C66">
        <v>15.4</v>
      </c>
      <c r="D66">
        <v>0</v>
      </c>
      <c r="E66">
        <v>9.2</v>
      </c>
    </row>
    <row r="67" spans="1:5">
      <c r="A67" t="s">
        <v>158</v>
      </c>
      <c r="B67">
        <v>64.8</v>
      </c>
      <c r="C67">
        <v>73.4</v>
      </c>
      <c r="D67">
        <v>42.6</v>
      </c>
      <c r="E67">
        <v>54</v>
      </c>
    </row>
    <row r="68" spans="1:5">
      <c r="A68" t="s">
        <v>159</v>
      </c>
      <c r="B68">
        <v>19.2</v>
      </c>
      <c r="C68">
        <v>46.4</v>
      </c>
      <c r="D68">
        <v>13.8</v>
      </c>
      <c r="E68">
        <v>20.6</v>
      </c>
    </row>
    <row r="69" spans="1:5">
      <c r="A69" t="s">
        <v>160</v>
      </c>
      <c r="B69">
        <v>87.4</v>
      </c>
      <c r="C69">
        <v>80.8</v>
      </c>
      <c r="D69">
        <v>75</v>
      </c>
      <c r="E69">
        <v>69.4</v>
      </c>
    </row>
    <row r="70" spans="1:5">
      <c r="A70" t="s">
        <v>161</v>
      </c>
      <c r="B70">
        <v>56</v>
      </c>
      <c r="C70">
        <v>80</v>
      </c>
      <c r="D70">
        <v>76.6</v>
      </c>
      <c r="E70">
        <v>86.2</v>
      </c>
    </row>
    <row r="71" spans="1:5">
      <c r="A71" t="s">
        <v>162</v>
      </c>
      <c r="B71">
        <v>87.9</v>
      </c>
      <c r="C71">
        <v>93.8</v>
      </c>
      <c r="D71">
        <v>77.6</v>
      </c>
      <c r="E71">
        <v>91</v>
      </c>
    </row>
    <row r="72" spans="1:5">
      <c r="A72" t="s">
        <v>163</v>
      </c>
      <c r="B72">
        <v>61.6</v>
      </c>
      <c r="C72">
        <v>82.6</v>
      </c>
      <c r="D72">
        <v>66.6</v>
      </c>
      <c r="E72">
        <v>83</v>
      </c>
    </row>
    <row r="73" spans="1:5">
      <c r="A73" t="s">
        <v>164</v>
      </c>
      <c r="B73">
        <v>70.2</v>
      </c>
      <c r="C73">
        <v>76</v>
      </c>
      <c r="D73">
        <v>56.4</v>
      </c>
      <c r="E73">
        <v>58.6</v>
      </c>
    </row>
    <row r="74" spans="1:5">
      <c r="A74" t="s">
        <v>165</v>
      </c>
      <c r="B74">
        <v>83.6</v>
      </c>
      <c r="C74">
        <v>74.4</v>
      </c>
      <c r="D74">
        <v>40.2</v>
      </c>
      <c r="E74">
        <v>80.6</v>
      </c>
    </row>
    <row r="75" spans="1:5">
      <c r="A75" t="s">
        <v>166</v>
      </c>
      <c r="B75">
        <v>76.8</v>
      </c>
      <c r="C75">
        <v>93.4</v>
      </c>
      <c r="D75">
        <v>82.4</v>
      </c>
      <c r="E75">
        <v>91.2</v>
      </c>
    </row>
    <row r="76" spans="1:5">
      <c r="A76" t="s">
        <v>167</v>
      </c>
      <c r="B76">
        <v>65.5</v>
      </c>
      <c r="C76">
        <v>81</v>
      </c>
      <c r="D76">
        <v>66.2</v>
      </c>
      <c r="E76">
        <v>71.4</v>
      </c>
    </row>
    <row r="77" spans="1:5">
      <c r="A77" t="s">
        <v>168</v>
      </c>
      <c r="B77">
        <v>94</v>
      </c>
      <c r="C77">
        <v>88.8</v>
      </c>
      <c r="D77">
        <v>92</v>
      </c>
      <c r="E77">
        <v>85.2</v>
      </c>
    </row>
    <row r="78" spans="1:5">
      <c r="A78" t="s">
        <v>169</v>
      </c>
      <c r="B78">
        <v>93</v>
      </c>
      <c r="C78">
        <v>91.6</v>
      </c>
      <c r="D78">
        <v>93.6</v>
      </c>
      <c r="E78">
        <v>81.4</v>
      </c>
    </row>
    <row r="79" spans="1:5">
      <c r="A79" t="s">
        <v>170</v>
      </c>
      <c r="B79">
        <v>79.4</v>
      </c>
      <c r="C79">
        <v>88</v>
      </c>
      <c r="D79">
        <v>73</v>
      </c>
      <c r="E79">
        <v>72.6</v>
      </c>
    </row>
    <row r="80" spans="1:5">
      <c r="A80" t="s">
        <v>171</v>
      </c>
      <c r="B80">
        <v>32.4</v>
      </c>
      <c r="C80">
        <v>54</v>
      </c>
      <c r="D80">
        <v>21.4</v>
      </c>
      <c r="E80">
        <v>34.2</v>
      </c>
    </row>
    <row r="81" spans="1:5">
      <c r="A81" t="s">
        <v>172</v>
      </c>
      <c r="B81">
        <v>93.8</v>
      </c>
      <c r="C81">
        <v>93</v>
      </c>
      <c r="D81">
        <v>98</v>
      </c>
      <c r="E81">
        <v>90.2</v>
      </c>
    </row>
    <row r="82" spans="1:5">
      <c r="A82" t="s">
        <v>173</v>
      </c>
      <c r="B82">
        <v>89.4</v>
      </c>
      <c r="C82">
        <v>92.4</v>
      </c>
      <c r="D82">
        <v>95.2</v>
      </c>
      <c r="E82">
        <v>87</v>
      </c>
    </row>
    <row r="83" spans="1:5">
      <c r="A83" t="s">
        <v>174</v>
      </c>
      <c r="B83">
        <v>91.4</v>
      </c>
      <c r="C83">
        <v>93.6</v>
      </c>
      <c r="D83">
        <v>95.6</v>
      </c>
      <c r="E83">
        <v>85.2</v>
      </c>
    </row>
    <row r="84" spans="1:5">
      <c r="A84" t="s">
        <v>175</v>
      </c>
      <c r="B84">
        <v>92.4</v>
      </c>
      <c r="C84">
        <v>93</v>
      </c>
      <c r="D84">
        <v>93</v>
      </c>
      <c r="E84">
        <v>90.2</v>
      </c>
    </row>
    <row r="85" spans="1:5">
      <c r="A85" t="s">
        <v>176</v>
      </c>
      <c r="B85">
        <v>97</v>
      </c>
      <c r="C85">
        <v>93.6</v>
      </c>
      <c r="D85">
        <v>96.8</v>
      </c>
      <c r="E85">
        <v>89.4</v>
      </c>
    </row>
    <row r="86" spans="1:5">
      <c r="A86" t="s">
        <v>177</v>
      </c>
      <c r="B86">
        <v>59</v>
      </c>
      <c r="C86">
        <v>65.6</v>
      </c>
      <c r="D86">
        <v>40</v>
      </c>
      <c r="E86">
        <v>44.6</v>
      </c>
    </row>
    <row r="87" spans="1:5">
      <c r="A87" t="s">
        <v>178</v>
      </c>
      <c r="B87">
        <v>97.4</v>
      </c>
      <c r="C87">
        <v>93</v>
      </c>
      <c r="D87">
        <v>95.2</v>
      </c>
      <c r="E87">
        <v>89.8</v>
      </c>
    </row>
    <row r="88" spans="1:5">
      <c r="A88" t="s">
        <v>179</v>
      </c>
      <c r="B88">
        <v>96</v>
      </c>
      <c r="C88">
        <v>94</v>
      </c>
      <c r="D88">
        <v>94.4</v>
      </c>
      <c r="E88">
        <v>92.6</v>
      </c>
    </row>
    <row r="89" spans="1:5">
      <c r="A89" t="s">
        <v>180</v>
      </c>
      <c r="B89">
        <v>96</v>
      </c>
      <c r="C89">
        <v>93</v>
      </c>
      <c r="D89">
        <v>95</v>
      </c>
      <c r="E89">
        <v>89.4</v>
      </c>
    </row>
    <row r="90" spans="1:5">
      <c r="A90" t="s">
        <v>181</v>
      </c>
      <c r="B90">
        <v>92.2</v>
      </c>
      <c r="C90">
        <v>93</v>
      </c>
      <c r="D90">
        <v>86.7</v>
      </c>
      <c r="E90">
        <v>87.4</v>
      </c>
    </row>
    <row r="91" spans="1:5">
      <c r="A91" t="s">
        <v>182</v>
      </c>
      <c r="B91">
        <v>84.4</v>
      </c>
      <c r="C91">
        <v>89.2</v>
      </c>
      <c r="D91">
        <v>80.6</v>
      </c>
      <c r="E91">
        <v>83.4</v>
      </c>
    </row>
    <row r="92" spans="1:5">
      <c r="A92" t="s">
        <v>183</v>
      </c>
      <c r="B92">
        <v>89.4</v>
      </c>
      <c r="C92">
        <v>90.4</v>
      </c>
      <c r="D92">
        <v>81.4</v>
      </c>
      <c r="E92">
        <v>80.6</v>
      </c>
    </row>
    <row r="93" spans="1:5">
      <c r="A93" t="s">
        <v>184</v>
      </c>
      <c r="B93">
        <v>88.8</v>
      </c>
      <c r="C93">
        <v>86.8</v>
      </c>
      <c r="D93">
        <v>90.8</v>
      </c>
      <c r="E93">
        <v>77.8</v>
      </c>
    </row>
    <row r="94" spans="1:5">
      <c r="A94" t="s">
        <v>185</v>
      </c>
      <c r="B94">
        <v>96.4</v>
      </c>
      <c r="C94">
        <v>93.6</v>
      </c>
      <c r="D94">
        <v>92.8</v>
      </c>
      <c r="E94">
        <v>91.2</v>
      </c>
    </row>
    <row r="95" spans="1:5">
      <c r="A95" t="s">
        <v>186</v>
      </c>
      <c r="B95">
        <v>99</v>
      </c>
      <c r="C95">
        <v>94</v>
      </c>
      <c r="D95">
        <v>98.4</v>
      </c>
      <c r="E95">
        <v>94</v>
      </c>
    </row>
    <row r="96" spans="1:5">
      <c r="A96" t="s">
        <v>187</v>
      </c>
      <c r="B96">
        <v>96.8</v>
      </c>
      <c r="C96">
        <v>93</v>
      </c>
      <c r="D96">
        <v>91</v>
      </c>
      <c r="E96">
        <v>93</v>
      </c>
    </row>
    <row r="97" spans="1:5">
      <c r="A97" t="s">
        <v>188</v>
      </c>
      <c r="B97">
        <v>95.4</v>
      </c>
      <c r="C97">
        <v>92</v>
      </c>
      <c r="D97">
        <v>93</v>
      </c>
      <c r="E97">
        <v>90.8</v>
      </c>
    </row>
    <row r="98" spans="1:5">
      <c r="A98" t="s">
        <v>189</v>
      </c>
      <c r="B98">
        <v>35.6</v>
      </c>
      <c r="C98">
        <v>37.4</v>
      </c>
      <c r="D98">
        <v>28.4</v>
      </c>
      <c r="E98">
        <v>22.6</v>
      </c>
    </row>
    <row r="99" spans="1:5">
      <c r="A99" t="s">
        <v>190</v>
      </c>
      <c r="B99">
        <v>98</v>
      </c>
      <c r="C99">
        <v>95</v>
      </c>
      <c r="D99">
        <v>97.8</v>
      </c>
      <c r="E99">
        <v>97</v>
      </c>
    </row>
    <row r="100" spans="1:5">
      <c r="A100" t="s">
        <v>191</v>
      </c>
      <c r="B100">
        <v>50.4</v>
      </c>
      <c r="C100">
        <v>64.6</v>
      </c>
      <c r="D100">
        <v>55.4</v>
      </c>
      <c r="E100">
        <v>33.8</v>
      </c>
    </row>
    <row r="101" spans="1:5">
      <c r="A101" t="s">
        <v>192</v>
      </c>
      <c r="B101">
        <v>94.2</v>
      </c>
      <c r="C101">
        <v>93</v>
      </c>
      <c r="D101">
        <v>95.8</v>
      </c>
      <c r="E101">
        <v>90.8</v>
      </c>
    </row>
    <row r="102" spans="1:5">
      <c r="A102" t="s">
        <v>193</v>
      </c>
      <c r="B102">
        <v>74</v>
      </c>
      <c r="C102">
        <v>53.6</v>
      </c>
      <c r="D102">
        <v>45.4</v>
      </c>
      <c r="E102">
        <v>35.8</v>
      </c>
    </row>
    <row r="103" spans="1:5">
      <c r="A103" t="s">
        <v>194</v>
      </c>
      <c r="B103">
        <v>93.2</v>
      </c>
      <c r="C103">
        <v>87.6</v>
      </c>
      <c r="D103">
        <v>93.6</v>
      </c>
      <c r="E103">
        <v>81.6</v>
      </c>
    </row>
    <row r="104" spans="1:5">
      <c r="A104" t="s">
        <v>195</v>
      </c>
      <c r="B104">
        <v>95.2</v>
      </c>
      <c r="C104">
        <v>94</v>
      </c>
      <c r="D104">
        <v>95</v>
      </c>
      <c r="E104">
        <v>93.4</v>
      </c>
    </row>
    <row r="105" spans="1:5">
      <c r="A105" t="s">
        <v>196</v>
      </c>
      <c r="B105">
        <v>93.4</v>
      </c>
      <c r="C105">
        <v>93</v>
      </c>
      <c r="D105">
        <v>96.8</v>
      </c>
      <c r="E105">
        <v>93.4</v>
      </c>
    </row>
    <row r="106" spans="1:5">
      <c r="A106" t="s">
        <v>197</v>
      </c>
      <c r="B106">
        <v>95</v>
      </c>
      <c r="C106">
        <v>93</v>
      </c>
      <c r="D106">
        <v>93.8</v>
      </c>
      <c r="E106">
        <v>87.4</v>
      </c>
    </row>
    <row r="107" spans="1:5">
      <c r="A107" t="s">
        <v>198</v>
      </c>
      <c r="B107">
        <v>94.4</v>
      </c>
      <c r="C107">
        <v>93</v>
      </c>
      <c r="D107">
        <v>95.2</v>
      </c>
      <c r="E107">
        <v>93</v>
      </c>
    </row>
    <row r="108" spans="1:5">
      <c r="A108" t="s">
        <v>199</v>
      </c>
      <c r="B108">
        <v>98.4</v>
      </c>
      <c r="C108">
        <v>93</v>
      </c>
      <c r="D108">
        <v>94.4</v>
      </c>
      <c r="E108">
        <v>90.8</v>
      </c>
    </row>
    <row r="109" spans="1:5">
      <c r="A109" t="s">
        <v>200</v>
      </c>
      <c r="B109">
        <v>94.8</v>
      </c>
      <c r="C109">
        <v>93</v>
      </c>
      <c r="D109">
        <v>92.4</v>
      </c>
      <c r="E109">
        <v>91.2</v>
      </c>
    </row>
    <row r="110" spans="1:5">
      <c r="A110" t="s">
        <v>201</v>
      </c>
      <c r="B110">
        <v>89.4</v>
      </c>
      <c r="C110">
        <v>91</v>
      </c>
      <c r="D110">
        <v>89.4</v>
      </c>
      <c r="E110">
        <v>84.2</v>
      </c>
    </row>
    <row r="111" spans="1:5">
      <c r="A111" t="s">
        <v>202</v>
      </c>
      <c r="B111">
        <v>98</v>
      </c>
      <c r="C111">
        <v>94</v>
      </c>
      <c r="D111">
        <v>95</v>
      </c>
      <c r="E111">
        <v>90.8</v>
      </c>
    </row>
    <row r="112" spans="1:5">
      <c r="A112" t="s">
        <v>203</v>
      </c>
      <c r="B112">
        <v>95.6</v>
      </c>
      <c r="C112">
        <v>92</v>
      </c>
      <c r="D112">
        <v>92.4</v>
      </c>
      <c r="E112">
        <v>85.2</v>
      </c>
    </row>
    <row r="113" spans="1:5">
      <c r="A113" t="s">
        <v>204</v>
      </c>
      <c r="B113">
        <v>67</v>
      </c>
      <c r="C113">
        <v>91.6</v>
      </c>
      <c r="D113">
        <v>69.6</v>
      </c>
      <c r="E113">
        <v>86.8</v>
      </c>
    </row>
    <row r="114" spans="1:5">
      <c r="A114" t="s">
        <v>205</v>
      </c>
      <c r="B114">
        <v>81.2</v>
      </c>
      <c r="C114">
        <v>85.2</v>
      </c>
      <c r="D114">
        <v>63.4</v>
      </c>
      <c r="E114">
        <v>86.2</v>
      </c>
    </row>
    <row r="115" spans="1:5">
      <c r="A115" t="s">
        <v>206</v>
      </c>
      <c r="B115">
        <v>34.8</v>
      </c>
      <c r="C115">
        <v>46</v>
      </c>
      <c r="D115">
        <v>68.4</v>
      </c>
      <c r="E115">
        <v>41</v>
      </c>
    </row>
    <row r="116" spans="1:5">
      <c r="A116" t="s">
        <v>207</v>
      </c>
      <c r="B116">
        <v>72</v>
      </c>
      <c r="C116">
        <v>91.6</v>
      </c>
      <c r="D116">
        <v>40.6</v>
      </c>
      <c r="E116">
        <v>89.8</v>
      </c>
    </row>
    <row r="117" spans="1:5">
      <c r="A117" t="s">
        <v>208</v>
      </c>
      <c r="B117">
        <v>75.6</v>
      </c>
      <c r="C117">
        <v>84.8</v>
      </c>
      <c r="D117">
        <v>77.8</v>
      </c>
      <c r="E117">
        <v>86.2</v>
      </c>
    </row>
    <row r="118" spans="1:5">
      <c r="A118" t="s">
        <v>209</v>
      </c>
      <c r="B118">
        <v>85.9</v>
      </c>
      <c r="C118">
        <v>88.8</v>
      </c>
      <c r="D118">
        <v>70.4</v>
      </c>
      <c r="E118">
        <v>89</v>
      </c>
    </row>
    <row r="119" spans="1:5">
      <c r="A119" t="s">
        <v>210</v>
      </c>
      <c r="B119">
        <v>77.6</v>
      </c>
      <c r="C119">
        <v>88.8</v>
      </c>
      <c r="D119">
        <v>71.4</v>
      </c>
      <c r="E119">
        <v>89</v>
      </c>
    </row>
    <row r="120" spans="1:5">
      <c r="A120" t="s">
        <v>211</v>
      </c>
      <c r="B120">
        <v>70.2</v>
      </c>
      <c r="C120">
        <v>91.6</v>
      </c>
      <c r="D120">
        <v>18.7</v>
      </c>
      <c r="E120">
        <v>89.8</v>
      </c>
    </row>
    <row r="121" spans="1:5">
      <c r="A121" t="s">
        <v>212</v>
      </c>
      <c r="B121">
        <v>81</v>
      </c>
      <c r="C121">
        <v>93.4</v>
      </c>
      <c r="D121">
        <v>46.6</v>
      </c>
      <c r="E121">
        <v>90.4</v>
      </c>
    </row>
    <row r="122" spans="1:5">
      <c r="A122" t="s">
        <v>213</v>
      </c>
      <c r="B122">
        <v>23.6</v>
      </c>
      <c r="C122">
        <v>21</v>
      </c>
      <c r="D122">
        <v>80.7</v>
      </c>
      <c r="E122">
        <v>24.4</v>
      </c>
    </row>
    <row r="123" spans="1:5">
      <c r="A123" t="s">
        <v>214</v>
      </c>
      <c r="B123">
        <v>78.8</v>
      </c>
      <c r="C123">
        <v>84.8</v>
      </c>
      <c r="D123">
        <v>63.2</v>
      </c>
      <c r="E123">
        <v>86.2</v>
      </c>
    </row>
    <row r="124" spans="1:5">
      <c r="A124" t="s">
        <v>215</v>
      </c>
      <c r="B124">
        <v>74.7</v>
      </c>
      <c r="C124">
        <v>92</v>
      </c>
      <c r="D124">
        <v>57.8</v>
      </c>
      <c r="E124">
        <v>92</v>
      </c>
    </row>
    <row r="125" spans="1:5">
      <c r="A125" t="s">
        <v>216</v>
      </c>
      <c r="B125">
        <v>66.6</v>
      </c>
      <c r="C125">
        <v>88.8</v>
      </c>
      <c r="D125">
        <v>62</v>
      </c>
      <c r="E125">
        <v>88.6</v>
      </c>
    </row>
    <row r="126" spans="1:5">
      <c r="A126" t="s">
        <v>217</v>
      </c>
      <c r="B126">
        <v>70</v>
      </c>
      <c r="C126">
        <v>89</v>
      </c>
      <c r="D126">
        <v>67</v>
      </c>
      <c r="E126">
        <v>84.8</v>
      </c>
    </row>
    <row r="127" spans="1:5">
      <c r="A127" t="s">
        <v>218</v>
      </c>
      <c r="B127">
        <v>66</v>
      </c>
      <c r="C127">
        <v>79</v>
      </c>
      <c r="D127">
        <v>26.2</v>
      </c>
      <c r="E127">
        <v>76.2</v>
      </c>
    </row>
    <row r="128" spans="1:5">
      <c r="A128" t="s">
        <v>219</v>
      </c>
      <c r="B128">
        <v>67.4</v>
      </c>
      <c r="C128">
        <v>79.6</v>
      </c>
      <c r="D128">
        <v>67.6</v>
      </c>
      <c r="E128">
        <v>78.4</v>
      </c>
    </row>
    <row r="129" spans="1:5">
      <c r="A129" t="s">
        <v>220</v>
      </c>
      <c r="B129">
        <v>39.2</v>
      </c>
      <c r="C129">
        <v>52.6</v>
      </c>
      <c r="D129">
        <v>57.2</v>
      </c>
      <c r="E129">
        <v>46.6</v>
      </c>
    </row>
    <row r="130" spans="1:5">
      <c r="A130" t="s">
        <v>221</v>
      </c>
      <c r="B130">
        <v>77</v>
      </c>
      <c r="C130">
        <v>85.2</v>
      </c>
      <c r="D130">
        <v>61.8</v>
      </c>
      <c r="E130">
        <v>86.2</v>
      </c>
    </row>
    <row r="131" spans="1:5">
      <c r="A131" t="s">
        <v>222</v>
      </c>
      <c r="B131">
        <v>78.1</v>
      </c>
      <c r="C131">
        <v>86.8</v>
      </c>
      <c r="D131">
        <v>78</v>
      </c>
      <c r="E131">
        <v>87.6</v>
      </c>
    </row>
    <row r="132" spans="1:5">
      <c r="A132" t="s">
        <v>223</v>
      </c>
      <c r="B132">
        <v>79</v>
      </c>
      <c r="C132">
        <v>81</v>
      </c>
      <c r="D132">
        <v>26</v>
      </c>
      <c r="E132">
        <v>85.8</v>
      </c>
    </row>
    <row r="133" spans="1:5">
      <c r="A133" t="s">
        <v>224</v>
      </c>
      <c r="B133">
        <v>79.6</v>
      </c>
      <c r="C133">
        <v>88.4</v>
      </c>
      <c r="D133">
        <v>57.6</v>
      </c>
      <c r="E133">
        <v>88.2</v>
      </c>
    </row>
    <row r="134" spans="1:5">
      <c r="A134" t="s">
        <v>225</v>
      </c>
      <c r="B134">
        <v>49.4</v>
      </c>
      <c r="C134">
        <v>45.6</v>
      </c>
      <c r="D134">
        <v>57.6</v>
      </c>
      <c r="E134">
        <v>39.8</v>
      </c>
    </row>
    <row r="135" spans="1:5">
      <c r="A135" t="s">
        <v>226</v>
      </c>
      <c r="B135">
        <v>68</v>
      </c>
      <c r="C135">
        <v>81.2</v>
      </c>
      <c r="D135">
        <v>68.6</v>
      </c>
      <c r="E135">
        <v>82.8</v>
      </c>
    </row>
    <row r="136" spans="1:5">
      <c r="A136" t="s">
        <v>227</v>
      </c>
      <c r="B136">
        <v>70.8</v>
      </c>
      <c r="C136">
        <v>86.8</v>
      </c>
      <c r="D136">
        <v>52</v>
      </c>
      <c r="E136">
        <v>88.6</v>
      </c>
    </row>
    <row r="137" spans="1:5">
      <c r="A137" t="s">
        <v>228</v>
      </c>
      <c r="B137">
        <v>71.8</v>
      </c>
      <c r="C137">
        <v>87.6</v>
      </c>
      <c r="D137">
        <v>57.6</v>
      </c>
      <c r="E137">
        <v>85.4</v>
      </c>
    </row>
    <row r="138" spans="1:5">
      <c r="A138" t="s">
        <v>229</v>
      </c>
      <c r="B138">
        <v>81.8</v>
      </c>
      <c r="C138">
        <v>84.2</v>
      </c>
      <c r="D138">
        <v>68.6</v>
      </c>
      <c r="E138">
        <v>81.4</v>
      </c>
    </row>
    <row r="139" spans="1:5">
      <c r="A139" t="s">
        <v>230</v>
      </c>
      <c r="B139">
        <v>77</v>
      </c>
      <c r="C139">
        <v>84.2</v>
      </c>
      <c r="D139">
        <v>60.6</v>
      </c>
      <c r="E139">
        <v>81.4</v>
      </c>
    </row>
    <row r="140" spans="1:5">
      <c r="A140" t="s">
        <v>231</v>
      </c>
      <c r="B140">
        <v>71</v>
      </c>
      <c r="C140">
        <v>86.4</v>
      </c>
      <c r="D140">
        <v>24.4</v>
      </c>
      <c r="E140">
        <v>84.2</v>
      </c>
    </row>
    <row r="141" spans="1:5">
      <c r="A141" t="s">
        <v>232</v>
      </c>
      <c r="B141">
        <v>61.4</v>
      </c>
      <c r="C141">
        <v>81.4</v>
      </c>
      <c r="D141">
        <v>74.2</v>
      </c>
      <c r="E141">
        <v>72.6</v>
      </c>
    </row>
    <row r="142" spans="1:5">
      <c r="A142" t="s">
        <v>233</v>
      </c>
      <c r="B142">
        <v>65.9</v>
      </c>
      <c r="C142">
        <v>66.4</v>
      </c>
      <c r="D142">
        <v>71.6</v>
      </c>
      <c r="E142">
        <v>53</v>
      </c>
    </row>
    <row r="143" spans="1:5">
      <c r="A143" t="s">
        <v>234</v>
      </c>
      <c r="B143">
        <v>85.9</v>
      </c>
      <c r="C143">
        <v>89.2</v>
      </c>
      <c r="D143">
        <v>63</v>
      </c>
      <c r="E143">
        <v>90.6</v>
      </c>
    </row>
    <row r="144" spans="1:5">
      <c r="A144" t="s">
        <v>235</v>
      </c>
      <c r="B144">
        <v>78.6</v>
      </c>
      <c r="C144">
        <v>90.6</v>
      </c>
      <c r="D144">
        <v>41.6</v>
      </c>
      <c r="E144">
        <v>91.4</v>
      </c>
    </row>
    <row r="145" spans="1:5">
      <c r="A145" t="s">
        <v>236</v>
      </c>
      <c r="B145">
        <v>77.2</v>
      </c>
      <c r="C145">
        <v>86.4</v>
      </c>
      <c r="D145">
        <v>66</v>
      </c>
      <c r="E145">
        <v>84.2</v>
      </c>
    </row>
    <row r="146" spans="1:5">
      <c r="A146" t="s">
        <v>237</v>
      </c>
      <c r="B146">
        <v>51.8</v>
      </c>
      <c r="C146">
        <v>66.4</v>
      </c>
      <c r="D146">
        <v>61.8</v>
      </c>
      <c r="E146">
        <v>53</v>
      </c>
    </row>
    <row r="147" spans="1:5">
      <c r="A147" t="s">
        <v>238</v>
      </c>
      <c r="B147">
        <v>69.6</v>
      </c>
      <c r="C147">
        <v>90.6</v>
      </c>
      <c r="D147">
        <v>32</v>
      </c>
      <c r="E147">
        <v>91.4</v>
      </c>
    </row>
    <row r="148" spans="1:5">
      <c r="A148" t="s">
        <v>239</v>
      </c>
      <c r="B148">
        <v>66.9</v>
      </c>
      <c r="C148">
        <v>79</v>
      </c>
      <c r="D148">
        <v>80.2</v>
      </c>
      <c r="E148">
        <v>81.4</v>
      </c>
    </row>
    <row r="149" spans="1:5">
      <c r="A149" t="s">
        <v>240</v>
      </c>
      <c r="B149">
        <v>90.2</v>
      </c>
      <c r="C149">
        <v>88.6</v>
      </c>
      <c r="D149">
        <v>87.2</v>
      </c>
      <c r="E149">
        <v>91.4</v>
      </c>
    </row>
    <row r="150" spans="1:5">
      <c r="A150" t="s">
        <v>241</v>
      </c>
      <c r="B150">
        <v>79.4</v>
      </c>
      <c r="C150">
        <v>86</v>
      </c>
      <c r="D150">
        <v>85</v>
      </c>
      <c r="E150">
        <v>88.4</v>
      </c>
    </row>
    <row r="151" spans="1:5">
      <c r="A151" t="s">
        <v>242</v>
      </c>
      <c r="B151">
        <v>96.6</v>
      </c>
      <c r="C151">
        <v>75.4</v>
      </c>
      <c r="D151">
        <v>75.2</v>
      </c>
      <c r="E151">
        <v>78.6</v>
      </c>
    </row>
    <row r="152" spans="1:5">
      <c r="A152" t="s">
        <v>243</v>
      </c>
      <c r="B152">
        <v>78.2</v>
      </c>
      <c r="C152">
        <v>88.4</v>
      </c>
      <c r="D152">
        <v>76.6</v>
      </c>
      <c r="E152">
        <v>88.4</v>
      </c>
    </row>
    <row r="153" spans="1:5">
      <c r="A153" t="s">
        <v>244</v>
      </c>
      <c r="B153">
        <v>97.2</v>
      </c>
      <c r="C153">
        <v>76.8</v>
      </c>
      <c r="D153">
        <v>64.7</v>
      </c>
      <c r="E153">
        <v>80.6</v>
      </c>
    </row>
    <row r="154" spans="1:5">
      <c r="A154" t="s">
        <v>245</v>
      </c>
      <c r="B154">
        <v>78.6</v>
      </c>
      <c r="C154">
        <v>90.6</v>
      </c>
      <c r="D154">
        <v>95</v>
      </c>
      <c r="E154">
        <v>94.6</v>
      </c>
    </row>
    <row r="155" spans="1:5">
      <c r="A155" t="s">
        <v>246</v>
      </c>
      <c r="B155">
        <v>88.8</v>
      </c>
      <c r="C155">
        <v>76.8</v>
      </c>
      <c r="D155">
        <v>77.4</v>
      </c>
      <c r="E155">
        <v>80.6</v>
      </c>
    </row>
    <row r="156" spans="1:5">
      <c r="A156" t="s">
        <v>247</v>
      </c>
      <c r="B156">
        <v>90</v>
      </c>
      <c r="C156">
        <v>84.2</v>
      </c>
      <c r="D156">
        <v>91.4</v>
      </c>
      <c r="E156">
        <v>86</v>
      </c>
    </row>
    <row r="157" spans="1:5">
      <c r="A157" t="s">
        <v>248</v>
      </c>
      <c r="B157">
        <v>95.2</v>
      </c>
      <c r="C157">
        <v>89</v>
      </c>
      <c r="D157">
        <v>87.2</v>
      </c>
      <c r="E157">
        <v>96.8</v>
      </c>
    </row>
    <row r="158" spans="1:5">
      <c r="A158" t="s">
        <v>249</v>
      </c>
      <c r="B158">
        <v>95.4</v>
      </c>
      <c r="C158">
        <v>88.2</v>
      </c>
      <c r="D158">
        <v>79.2</v>
      </c>
      <c r="E158">
        <v>85.8</v>
      </c>
    </row>
    <row r="159" spans="1:5">
      <c r="A159" t="s">
        <v>250</v>
      </c>
      <c r="B159">
        <v>78.6</v>
      </c>
      <c r="C159">
        <v>89</v>
      </c>
      <c r="D159">
        <v>85.8</v>
      </c>
      <c r="E159">
        <v>80.6</v>
      </c>
    </row>
    <row r="160" spans="1:5">
      <c r="A160" t="s">
        <v>251</v>
      </c>
      <c r="B160">
        <v>93.2</v>
      </c>
      <c r="C160">
        <v>76.8</v>
      </c>
      <c r="D160">
        <v>53</v>
      </c>
      <c r="E160">
        <v>90.2</v>
      </c>
    </row>
    <row r="161" spans="1:5">
      <c r="A161" t="s">
        <v>252</v>
      </c>
      <c r="B161">
        <v>99.6</v>
      </c>
      <c r="C161">
        <v>88.2</v>
      </c>
      <c r="D161">
        <v>85.6</v>
      </c>
      <c r="E161">
        <v>89.4</v>
      </c>
    </row>
    <row r="162" spans="1:5">
      <c r="A162" t="s">
        <v>253</v>
      </c>
      <c r="B162">
        <v>95.2</v>
      </c>
      <c r="C162">
        <v>89.8</v>
      </c>
      <c r="D162">
        <v>94.8</v>
      </c>
      <c r="E162">
        <v>87</v>
      </c>
    </row>
    <row r="163" spans="1:5">
      <c r="A163" t="s">
        <v>254</v>
      </c>
      <c r="B163">
        <v>90.2</v>
      </c>
      <c r="C163">
        <v>88</v>
      </c>
      <c r="D163">
        <v>86.6</v>
      </c>
      <c r="E163">
        <v>81.2</v>
      </c>
    </row>
    <row r="164" spans="1:5">
      <c r="A164" t="s">
        <v>255</v>
      </c>
      <c r="B164">
        <v>85.8</v>
      </c>
      <c r="C164">
        <v>86.4</v>
      </c>
      <c r="D164">
        <v>86.2</v>
      </c>
      <c r="E164">
        <v>85.6</v>
      </c>
    </row>
    <row r="165" spans="1:5">
      <c r="A165" t="s">
        <v>256</v>
      </c>
      <c r="B165">
        <v>92.6</v>
      </c>
      <c r="C165">
        <v>84.8</v>
      </c>
      <c r="D165">
        <v>90.5</v>
      </c>
      <c r="E165">
        <v>81.2</v>
      </c>
    </row>
    <row r="166" spans="1:5">
      <c r="A166" t="s">
        <v>257</v>
      </c>
      <c r="B166">
        <v>94.2</v>
      </c>
      <c r="C166">
        <v>84.2</v>
      </c>
      <c r="D166">
        <v>93</v>
      </c>
      <c r="E166">
        <v>85.6</v>
      </c>
    </row>
    <row r="167" spans="1:5">
      <c r="A167" t="s">
        <v>258</v>
      </c>
      <c r="B167">
        <v>93.2</v>
      </c>
      <c r="C167">
        <v>94.4</v>
      </c>
      <c r="D167">
        <v>90</v>
      </c>
      <c r="E167">
        <v>94</v>
      </c>
    </row>
    <row r="168" spans="1:5">
      <c r="A168" t="s">
        <v>259</v>
      </c>
      <c r="B168">
        <v>92.3</v>
      </c>
      <c r="C168">
        <v>83.8</v>
      </c>
      <c r="D168">
        <v>82.4</v>
      </c>
      <c r="E168">
        <v>83.2</v>
      </c>
    </row>
    <row r="169" spans="1:5">
      <c r="A169" t="s">
        <v>260</v>
      </c>
      <c r="B169">
        <v>31.6</v>
      </c>
      <c r="C169">
        <v>85.6</v>
      </c>
      <c r="D169">
        <v>85</v>
      </c>
      <c r="E169">
        <v>85.8</v>
      </c>
    </row>
    <row r="170" spans="1:5">
      <c r="A170" t="s">
        <v>261</v>
      </c>
      <c r="B170">
        <v>88.6</v>
      </c>
      <c r="C170">
        <v>29.6</v>
      </c>
      <c r="D170">
        <v>30.4</v>
      </c>
      <c r="E170">
        <v>25</v>
      </c>
    </row>
    <row r="171" spans="1:5">
      <c r="A171" t="s">
        <v>262</v>
      </c>
      <c r="B171">
        <v>80.8</v>
      </c>
      <c r="C171">
        <v>85.2</v>
      </c>
      <c r="D171">
        <v>88.9</v>
      </c>
      <c r="E171">
        <v>85.4</v>
      </c>
    </row>
    <row r="172" spans="1:5">
      <c r="A172" t="s">
        <v>263</v>
      </c>
      <c r="B172">
        <v>96.6</v>
      </c>
      <c r="C172">
        <v>85</v>
      </c>
      <c r="D172">
        <v>69</v>
      </c>
      <c r="E172">
        <v>85</v>
      </c>
    </row>
    <row r="173" spans="1:5">
      <c r="A173" t="s">
        <v>264</v>
      </c>
      <c r="B173">
        <v>85.8</v>
      </c>
      <c r="C173">
        <v>85.2</v>
      </c>
      <c r="D173">
        <v>44.4</v>
      </c>
      <c r="E173">
        <v>85.8</v>
      </c>
    </row>
    <row r="174" spans="1:5">
      <c r="A174" t="s">
        <v>265</v>
      </c>
      <c r="B174">
        <v>90</v>
      </c>
      <c r="C174">
        <v>84.6</v>
      </c>
      <c r="D174">
        <v>89.2</v>
      </c>
      <c r="E174">
        <v>84.4</v>
      </c>
    </row>
    <row r="175" spans="1:5">
      <c r="A175" t="s">
        <v>266</v>
      </c>
      <c r="B175">
        <v>80.6</v>
      </c>
      <c r="C175">
        <v>93</v>
      </c>
      <c r="D175">
        <v>87.2</v>
      </c>
      <c r="E175">
        <v>94</v>
      </c>
    </row>
    <row r="176" spans="1:5">
      <c r="A176" t="s">
        <v>267</v>
      </c>
      <c r="B176">
        <v>96</v>
      </c>
      <c r="C176">
        <v>59.2</v>
      </c>
      <c r="D176">
        <v>87.3</v>
      </c>
      <c r="E176">
        <v>52.2</v>
      </c>
    </row>
    <row r="177" spans="1:5">
      <c r="A177" t="s">
        <v>268</v>
      </c>
      <c r="B177">
        <v>91.2</v>
      </c>
      <c r="C177">
        <v>85.6</v>
      </c>
      <c r="D177">
        <v>89.4</v>
      </c>
      <c r="E177">
        <v>85.8</v>
      </c>
    </row>
    <row r="178" spans="1:5">
      <c r="A178" t="s">
        <v>269</v>
      </c>
      <c r="B178">
        <v>78.2</v>
      </c>
      <c r="C178">
        <v>86.6</v>
      </c>
      <c r="D178">
        <v>87.4</v>
      </c>
      <c r="E178">
        <v>88.2</v>
      </c>
    </row>
    <row r="179" spans="1:5">
      <c r="A179" t="s">
        <v>270</v>
      </c>
      <c r="B179">
        <v>97.2</v>
      </c>
      <c r="C179">
        <v>85</v>
      </c>
      <c r="D179">
        <v>78.6</v>
      </c>
      <c r="E179">
        <v>85</v>
      </c>
    </row>
    <row r="180" spans="1:5">
      <c r="A180" t="s">
        <v>271</v>
      </c>
      <c r="B180">
        <v>82.6</v>
      </c>
      <c r="C180">
        <v>85.6</v>
      </c>
      <c r="D180">
        <v>79.4</v>
      </c>
      <c r="E180">
        <v>89.4</v>
      </c>
    </row>
    <row r="181" spans="1:5">
      <c r="A181" t="s">
        <v>272</v>
      </c>
      <c r="B181">
        <v>88.6</v>
      </c>
      <c r="C181">
        <v>59.2</v>
      </c>
      <c r="D181">
        <v>74</v>
      </c>
      <c r="E181">
        <v>52.2</v>
      </c>
    </row>
    <row r="182" spans="1:5">
      <c r="A182" t="s">
        <v>273</v>
      </c>
      <c r="B182">
        <v>95.2</v>
      </c>
      <c r="C182">
        <v>85.2</v>
      </c>
      <c r="D182">
        <v>92.2</v>
      </c>
      <c r="E182">
        <v>85.8</v>
      </c>
    </row>
    <row r="183" spans="1:5">
      <c r="A183" t="s">
        <v>274</v>
      </c>
      <c r="B183">
        <v>82.8</v>
      </c>
      <c r="C183">
        <v>86.6</v>
      </c>
      <c r="D183">
        <v>76.4</v>
      </c>
      <c r="E183">
        <v>86.4</v>
      </c>
    </row>
    <row r="184" spans="1:5">
      <c r="A184" t="s">
        <v>275</v>
      </c>
      <c r="B184">
        <v>93.2</v>
      </c>
      <c r="C184">
        <v>81</v>
      </c>
      <c r="D184">
        <v>86.2</v>
      </c>
      <c r="E184">
        <v>82.6</v>
      </c>
    </row>
    <row r="187" spans="1:5">
      <c r="A187" s="2" t="s">
        <v>478</v>
      </c>
      <c r="B187" s="2" t="s">
        <v>479</v>
      </c>
      <c r="C187" s="2" t="s">
        <v>480</v>
      </c>
      <c r="D187" s="2" t="s">
        <v>481</v>
      </c>
      <c r="E187" s="2" t="s">
        <v>482</v>
      </c>
    </row>
    <row r="188" spans="1:5">
      <c r="A188" t="s">
        <v>483</v>
      </c>
      <c r="B188" s="16" cm="1">
        <f t="array" ref="B188">CORREL(B5:B184,C5:C184)</f>
        <v>0.828106812538727</v>
      </c>
      <c r="C188" s="16">
        <f>2*_xlfn.COVARIANCE.S(B5:B184,C5:C184)/(_xlfn.VAR.S(B5:B184)+_xlfn.VAR.S(C5:C184)+(AVERAGE(B5:B184)-AVERAGE(C5:C184))^2)</f>
        <v>0.801150517095183</v>
      </c>
      <c r="D188" s="16" cm="1">
        <f t="array" ref="D188">SUMPRODUCT(ABS(B5:B184-C5:C184))/COUNT(B5:B184)</f>
        <v>10.0766666666667</v>
      </c>
      <c r="E188" s="16">
        <f>AVERAGE(B5:B184)-AVERAGE(C5:C184)</f>
        <v>-4.87555555555558</v>
      </c>
    </row>
    <row r="189" spans="1:5">
      <c r="A189" t="s">
        <v>484</v>
      </c>
      <c r="B189" s="16">
        <f>CORREL(D5:D184,E5:E184)</f>
        <v>0.618264914201915</v>
      </c>
      <c r="C189" s="16">
        <f>2*_xlfn.COVARIANCE.S(D5:D184,E5:E184)/(_xlfn.VAR.S(D5:D184)+_xlfn.VAR.S(E5:E184)+(AVERAGE(D5:D184)-AVERAGE(E5:E184))^2)</f>
        <v>0.574932531253445</v>
      </c>
      <c r="D189" s="16">
        <f>SUMPRODUCT(ABS(D5:D184-E5:E184))/COUNT(D5:D184)</f>
        <v>16.0127777777778</v>
      </c>
      <c r="E189" s="16">
        <f>AVERAGE(D5:D184)-AVERAGE(E5:E184)</f>
        <v>-9.035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zoomScale="160" zoomScaleNormal="160" topLeftCell="A59" workbookViewId="0">
      <selection activeCell="E82" sqref="E82"/>
    </sheetView>
  </sheetViews>
  <sheetFormatPr defaultColWidth="9" defaultRowHeight="13.5"/>
  <cols>
    <col min="1" max="1" width="27.8083333333333" customWidth="1"/>
    <col min="2" max="2" width="12.8833333333333" customWidth="1"/>
    <col min="3" max="3" width="21.7083333333333" customWidth="1"/>
    <col min="4" max="4" width="16.3333333333333" customWidth="1"/>
    <col min="5" max="5" width="13.675" customWidth="1"/>
    <col min="6" max="7" width="12.625"/>
    <col min="8" max="8" width="12.6583333333333" customWidth="1"/>
    <col min="9" max="9" width="12.625"/>
  </cols>
  <sheetData>
    <row r="1" ht="15" spans="1:5">
      <c r="A1" s="11" t="s">
        <v>485</v>
      </c>
    </row>
    <row r="4" spans="1:5">
      <c r="A4" s="2" t="s">
        <v>74</v>
      </c>
      <c r="B4" s="2" t="s">
        <v>486</v>
      </c>
      <c r="C4" s="2" t="s">
        <v>487</v>
      </c>
      <c r="D4" s="2" t="s">
        <v>488</v>
      </c>
      <c r="E4" s="2" t="s">
        <v>489</v>
      </c>
    </row>
    <row r="5" spans="1:5">
      <c r="A5" t="s">
        <v>20</v>
      </c>
      <c r="B5">
        <v>57.2</v>
      </c>
      <c r="C5">
        <v>43.6</v>
      </c>
      <c r="D5">
        <f t="shared" ref="D5:D40" si="0">C5-B5</f>
        <v>-13.6</v>
      </c>
      <c r="E5">
        <f t="shared" ref="E5:E40" si="1">(B5+C5)/2</f>
        <v>50.4</v>
      </c>
    </row>
    <row r="6" spans="1:5">
      <c r="A6" t="s">
        <v>21</v>
      </c>
      <c r="B6">
        <v>42.4</v>
      </c>
      <c r="C6">
        <v>56.8</v>
      </c>
      <c r="D6">
        <f t="shared" si="0"/>
        <v>14.4</v>
      </c>
      <c r="E6">
        <f t="shared" si="1"/>
        <v>49.6</v>
      </c>
    </row>
    <row r="7" spans="1:5">
      <c r="A7" t="s">
        <v>22</v>
      </c>
      <c r="B7">
        <v>68</v>
      </c>
      <c r="C7">
        <v>82.4</v>
      </c>
      <c r="D7">
        <f t="shared" si="0"/>
        <v>14.4</v>
      </c>
      <c r="E7">
        <f t="shared" si="1"/>
        <v>75.2</v>
      </c>
    </row>
    <row r="8" spans="1:5">
      <c r="A8" t="s">
        <v>23</v>
      </c>
      <c r="B8">
        <v>65.8</v>
      </c>
      <c r="C8">
        <v>83.8</v>
      </c>
      <c r="D8">
        <f t="shared" si="0"/>
        <v>18</v>
      </c>
      <c r="E8">
        <f t="shared" si="1"/>
        <v>74.8</v>
      </c>
    </row>
    <row r="9" spans="1:5">
      <c r="A9" t="s">
        <v>24</v>
      </c>
      <c r="B9">
        <v>57.2</v>
      </c>
      <c r="C9">
        <v>75</v>
      </c>
      <c r="D9">
        <f t="shared" si="0"/>
        <v>17.8</v>
      </c>
      <c r="E9">
        <f t="shared" si="1"/>
        <v>66.1</v>
      </c>
    </row>
    <row r="10" spans="1:5">
      <c r="A10" t="s">
        <v>25</v>
      </c>
      <c r="B10">
        <v>59.6</v>
      </c>
      <c r="C10">
        <v>74.4</v>
      </c>
      <c r="D10">
        <f t="shared" si="0"/>
        <v>14.8</v>
      </c>
      <c r="E10">
        <f t="shared" si="1"/>
        <v>67</v>
      </c>
    </row>
    <row r="11" spans="1:5">
      <c r="A11" t="s">
        <v>26</v>
      </c>
      <c r="B11">
        <v>60.2</v>
      </c>
      <c r="C11">
        <v>77.6</v>
      </c>
      <c r="D11">
        <f t="shared" si="0"/>
        <v>17.4</v>
      </c>
      <c r="E11">
        <f t="shared" si="1"/>
        <v>68.9</v>
      </c>
    </row>
    <row r="12" spans="1:5">
      <c r="A12" t="s">
        <v>27</v>
      </c>
      <c r="B12">
        <v>60.2</v>
      </c>
      <c r="C12">
        <v>76.2</v>
      </c>
      <c r="D12">
        <f t="shared" si="0"/>
        <v>16</v>
      </c>
      <c r="E12">
        <f t="shared" si="1"/>
        <v>68.2</v>
      </c>
    </row>
    <row r="13" spans="1:5">
      <c r="A13" t="s">
        <v>28</v>
      </c>
      <c r="B13">
        <v>60.2</v>
      </c>
      <c r="C13">
        <v>71.8</v>
      </c>
      <c r="D13">
        <f t="shared" si="0"/>
        <v>11.6</v>
      </c>
      <c r="E13">
        <f t="shared" si="1"/>
        <v>66</v>
      </c>
    </row>
    <row r="14" spans="1:5">
      <c r="A14" t="s">
        <v>29</v>
      </c>
      <c r="B14">
        <v>0</v>
      </c>
      <c r="C14">
        <v>0</v>
      </c>
      <c r="D14">
        <f t="shared" si="0"/>
        <v>0</v>
      </c>
      <c r="E14">
        <f t="shared" si="1"/>
        <v>0</v>
      </c>
    </row>
    <row r="15" spans="1:5">
      <c r="A15" t="s">
        <v>30</v>
      </c>
      <c r="B15">
        <v>64.6</v>
      </c>
      <c r="C15">
        <v>80</v>
      </c>
      <c r="D15">
        <f t="shared" si="0"/>
        <v>15.4</v>
      </c>
      <c r="E15">
        <f t="shared" si="1"/>
        <v>72.3</v>
      </c>
    </row>
    <row r="16" spans="1:5">
      <c r="A16" t="s">
        <v>31</v>
      </c>
      <c r="B16">
        <v>41.6</v>
      </c>
      <c r="C16">
        <v>72.2</v>
      </c>
      <c r="D16">
        <f t="shared" si="0"/>
        <v>30.6</v>
      </c>
      <c r="E16">
        <f t="shared" si="1"/>
        <v>56.9</v>
      </c>
    </row>
    <row r="17" spans="1:5">
      <c r="A17" t="s">
        <v>32</v>
      </c>
      <c r="B17">
        <v>59.6</v>
      </c>
      <c r="C17">
        <v>31.8</v>
      </c>
      <c r="D17">
        <f t="shared" si="0"/>
        <v>-27.8</v>
      </c>
      <c r="E17">
        <f t="shared" si="1"/>
        <v>45.7</v>
      </c>
    </row>
    <row r="18" spans="1:5">
      <c r="A18" t="s">
        <v>33</v>
      </c>
      <c r="B18">
        <v>59.6</v>
      </c>
      <c r="C18">
        <v>39.6</v>
      </c>
      <c r="D18">
        <f t="shared" si="0"/>
        <v>-20</v>
      </c>
      <c r="E18">
        <f t="shared" si="1"/>
        <v>49.6</v>
      </c>
    </row>
    <row r="19" spans="1:5">
      <c r="A19" t="s">
        <v>34</v>
      </c>
      <c r="B19">
        <v>60.2</v>
      </c>
      <c r="C19">
        <v>71</v>
      </c>
      <c r="D19">
        <f t="shared" si="0"/>
        <v>10.8</v>
      </c>
      <c r="E19">
        <f t="shared" si="1"/>
        <v>65.6</v>
      </c>
    </row>
    <row r="20" spans="1:5">
      <c r="A20" t="s">
        <v>35</v>
      </c>
      <c r="B20">
        <v>39.6</v>
      </c>
      <c r="C20">
        <v>37.4</v>
      </c>
      <c r="D20">
        <f t="shared" si="0"/>
        <v>-2.2</v>
      </c>
      <c r="E20">
        <f t="shared" si="1"/>
        <v>38.5</v>
      </c>
    </row>
    <row r="21" spans="1:5">
      <c r="A21" t="s">
        <v>36</v>
      </c>
      <c r="B21">
        <v>56.4</v>
      </c>
      <c r="C21">
        <v>71.6</v>
      </c>
      <c r="D21">
        <f t="shared" si="0"/>
        <v>15.2</v>
      </c>
      <c r="E21">
        <f t="shared" si="1"/>
        <v>64</v>
      </c>
    </row>
    <row r="22" spans="1:5">
      <c r="A22" t="s">
        <v>37</v>
      </c>
      <c r="B22">
        <v>60.2</v>
      </c>
      <c r="C22">
        <v>74.2</v>
      </c>
      <c r="D22">
        <f t="shared" si="0"/>
        <v>14</v>
      </c>
      <c r="E22">
        <f t="shared" si="1"/>
        <v>67.2</v>
      </c>
    </row>
    <row r="23" spans="1:5">
      <c r="A23" t="s">
        <v>38</v>
      </c>
      <c r="B23">
        <v>64.6</v>
      </c>
      <c r="C23">
        <v>81.2</v>
      </c>
      <c r="D23">
        <f t="shared" si="0"/>
        <v>16.6</v>
      </c>
      <c r="E23">
        <f t="shared" si="1"/>
        <v>72.9</v>
      </c>
    </row>
    <row r="24" spans="1:5">
      <c r="A24" t="s">
        <v>39</v>
      </c>
      <c r="B24">
        <v>24.4</v>
      </c>
      <c r="C24">
        <v>16.4</v>
      </c>
      <c r="D24">
        <f t="shared" si="0"/>
        <v>-8</v>
      </c>
      <c r="E24">
        <f t="shared" si="1"/>
        <v>20.4</v>
      </c>
    </row>
    <row r="25" spans="1:5">
      <c r="A25" t="s">
        <v>40</v>
      </c>
      <c r="B25">
        <v>57.2</v>
      </c>
      <c r="C25">
        <v>60</v>
      </c>
      <c r="D25">
        <f t="shared" si="0"/>
        <v>2.8</v>
      </c>
      <c r="E25">
        <f t="shared" si="1"/>
        <v>58.6</v>
      </c>
    </row>
    <row r="26" spans="1:5">
      <c r="A26" t="s">
        <v>41</v>
      </c>
      <c r="B26">
        <v>57.2</v>
      </c>
      <c r="C26">
        <v>86</v>
      </c>
      <c r="D26">
        <f t="shared" si="0"/>
        <v>28.8</v>
      </c>
      <c r="E26">
        <f t="shared" si="1"/>
        <v>71.6</v>
      </c>
    </row>
    <row r="27" spans="1:5">
      <c r="A27" t="s">
        <v>42</v>
      </c>
      <c r="B27">
        <v>57.2</v>
      </c>
      <c r="C27">
        <v>77.6</v>
      </c>
      <c r="D27">
        <f t="shared" si="0"/>
        <v>20.4</v>
      </c>
      <c r="E27">
        <f t="shared" si="1"/>
        <v>67.4</v>
      </c>
    </row>
    <row r="28" spans="1:5">
      <c r="A28" t="s">
        <v>43</v>
      </c>
      <c r="B28">
        <v>42.4</v>
      </c>
      <c r="C28">
        <v>48.2</v>
      </c>
      <c r="D28">
        <f t="shared" si="0"/>
        <v>5.8</v>
      </c>
      <c r="E28">
        <f t="shared" si="1"/>
        <v>45.3</v>
      </c>
    </row>
    <row r="29" spans="1:5">
      <c r="A29" t="s">
        <v>44</v>
      </c>
      <c r="B29">
        <v>63.6</v>
      </c>
      <c r="C29">
        <v>81.3</v>
      </c>
      <c r="D29">
        <f t="shared" si="0"/>
        <v>17.7</v>
      </c>
      <c r="E29">
        <f t="shared" si="1"/>
        <v>72.45</v>
      </c>
    </row>
    <row r="30" spans="1:5">
      <c r="A30" t="s">
        <v>46</v>
      </c>
      <c r="B30">
        <v>0</v>
      </c>
      <c r="C30">
        <v>0</v>
      </c>
      <c r="D30">
        <f t="shared" si="0"/>
        <v>0</v>
      </c>
      <c r="E30">
        <f t="shared" si="1"/>
        <v>0</v>
      </c>
    </row>
    <row r="31" spans="1:5">
      <c r="A31" t="s">
        <v>45</v>
      </c>
      <c r="B31">
        <v>33.6</v>
      </c>
      <c r="C31">
        <v>25.2</v>
      </c>
      <c r="D31">
        <f t="shared" si="0"/>
        <v>-8.4</v>
      </c>
      <c r="E31">
        <f t="shared" si="1"/>
        <v>29.4</v>
      </c>
    </row>
    <row r="32" spans="1:5">
      <c r="A32" t="s">
        <v>47</v>
      </c>
      <c r="B32">
        <v>32.4</v>
      </c>
      <c r="C32">
        <v>20.4</v>
      </c>
      <c r="D32">
        <f t="shared" si="0"/>
        <v>-12</v>
      </c>
      <c r="E32">
        <f t="shared" si="1"/>
        <v>26.4</v>
      </c>
    </row>
    <row r="33" spans="1:5">
      <c r="A33" t="s">
        <v>48</v>
      </c>
      <c r="B33">
        <v>60.2</v>
      </c>
      <c r="C33">
        <v>64.6</v>
      </c>
      <c r="D33">
        <f t="shared" si="0"/>
        <v>4.39999999999999</v>
      </c>
      <c r="E33">
        <f t="shared" si="1"/>
        <v>62.4</v>
      </c>
    </row>
    <row r="34" spans="1:5">
      <c r="A34" t="s">
        <v>49</v>
      </c>
      <c r="B34">
        <v>60.2</v>
      </c>
      <c r="C34">
        <v>72.6</v>
      </c>
      <c r="D34">
        <f t="shared" si="0"/>
        <v>12.4</v>
      </c>
      <c r="E34">
        <f t="shared" si="1"/>
        <v>66.4</v>
      </c>
    </row>
    <row r="35" spans="1:5">
      <c r="A35" t="s">
        <v>50</v>
      </c>
      <c r="B35">
        <v>63</v>
      </c>
      <c r="C35">
        <v>84.2</v>
      </c>
      <c r="D35">
        <f t="shared" si="0"/>
        <v>21.2</v>
      </c>
      <c r="E35">
        <f t="shared" si="1"/>
        <v>73.6</v>
      </c>
    </row>
    <row r="36" spans="1:5">
      <c r="A36" t="s">
        <v>51</v>
      </c>
      <c r="B36">
        <v>65.2</v>
      </c>
      <c r="C36">
        <v>82.2</v>
      </c>
      <c r="D36">
        <f t="shared" si="0"/>
        <v>17</v>
      </c>
      <c r="E36">
        <f t="shared" si="1"/>
        <v>73.7</v>
      </c>
    </row>
    <row r="37" spans="1:5">
      <c r="A37" t="s">
        <v>54</v>
      </c>
      <c r="B37">
        <v>0</v>
      </c>
      <c r="C37">
        <v>0</v>
      </c>
      <c r="D37">
        <f t="shared" si="0"/>
        <v>0</v>
      </c>
      <c r="E37">
        <f t="shared" si="1"/>
        <v>0</v>
      </c>
    </row>
    <row r="38" spans="1:5">
      <c r="A38" t="s">
        <v>52</v>
      </c>
      <c r="B38">
        <v>26.6</v>
      </c>
      <c r="C38">
        <v>16.8</v>
      </c>
      <c r="D38">
        <f t="shared" si="0"/>
        <v>-9.8</v>
      </c>
      <c r="E38">
        <f t="shared" si="1"/>
        <v>21.7</v>
      </c>
    </row>
    <row r="39" spans="1:5">
      <c r="A39" t="s">
        <v>53</v>
      </c>
      <c r="B39">
        <v>63.8</v>
      </c>
      <c r="C39">
        <v>83.1</v>
      </c>
      <c r="D39">
        <f t="shared" si="0"/>
        <v>19.3</v>
      </c>
      <c r="E39">
        <f t="shared" si="1"/>
        <v>73.45</v>
      </c>
    </row>
    <row r="40" spans="1:5">
      <c r="A40" t="s">
        <v>55</v>
      </c>
      <c r="B40">
        <v>56.4</v>
      </c>
      <c r="C40">
        <v>78.2</v>
      </c>
      <c r="D40">
        <f t="shared" si="0"/>
        <v>21.8</v>
      </c>
      <c r="E40">
        <f t="shared" si="1"/>
        <v>67.3</v>
      </c>
    </row>
    <row r="41" spans="1:5">
      <c r="B41">
        <f>_xlfn.STDEV.S(B5:B40)</f>
        <v>19.0466720002659</v>
      </c>
      <c r="C41">
        <f>_xlfn.STDEV.S(C5:C40)</f>
        <v>27.5724114472397</v>
      </c>
    </row>
    <row r="42" spans="1:5">
      <c r="A42" s="2" t="s">
        <v>490</v>
      </c>
      <c r="B42" s="2" t="s">
        <v>308</v>
      </c>
    </row>
    <row r="43" spans="1:5">
      <c r="A43" t="s">
        <v>479</v>
      </c>
      <c r="B43" s="13" cm="1">
        <f t="array" ref="B43">CORREL(B5:B40,C5:C40)</f>
        <v>0.889380107287133</v>
      </c>
    </row>
    <row r="44" spans="1:5">
      <c r="A44" t="s">
        <v>480</v>
      </c>
      <c r="B44" s="13" cm="1">
        <f t="array" ref="B44">2*_xlfn.COVARIANCE.S(B5:B40,C5:C40)/(_xlfn.VAR.S(B5:B40)+_xlfn.VAR.S(C5:C40)+(AVERAGE(B5:B40)-AVERAGE(C5:C40))^2)</f>
        <v>0.784341453840691</v>
      </c>
    </row>
    <row r="45" spans="1:5">
      <c r="A45" t="s">
        <v>491</v>
      </c>
      <c r="B45" s="13">
        <f>AVERAGE(C5:C40)-AVERAGE(B5:B40)</f>
        <v>8.24444444444443</v>
      </c>
    </row>
    <row r="46" spans="1:5">
      <c r="A46" t="s">
        <v>492</v>
      </c>
      <c r="B46" s="13">
        <f>_xlfn.STDEV.S(D5:D40)</f>
        <v>13.7431841692932</v>
      </c>
    </row>
    <row r="47" spans="1:5">
      <c r="A47" t="s">
        <v>493</v>
      </c>
      <c r="B47" s="13">
        <f>AVERAGE(D5:D40)-1.96*_xlfn.STDEV.S(D5:D40)</f>
        <v>-18.6921965273702</v>
      </c>
    </row>
    <row r="48" spans="1:5">
      <c r="A48" t="s">
        <v>494</v>
      </c>
      <c r="B48" s="13">
        <f>AVERAGE(D5:D40)+1.96*_xlfn.STDEV.S(D5:D40)</f>
        <v>35.1810854162591</v>
      </c>
    </row>
    <row r="49" spans="1:9">
      <c r="A49" t="s">
        <v>495</v>
      </c>
      <c r="B49" s="12">
        <f>COUNTIF(D5:D40,"&gt;15")+COUNTIF(D5:D40,"&lt;-15")</f>
        <v>17</v>
      </c>
      <c r="C49" s="14">
        <f>B49/36</f>
        <v>0.472222222222222</v>
      </c>
    </row>
    <row r="52" spans="1:9">
      <c r="A52" s="2" t="s">
        <v>74</v>
      </c>
      <c r="B52" s="2" t="s">
        <v>496</v>
      </c>
      <c r="C52" s="2" t="s">
        <v>497</v>
      </c>
      <c r="D52" s="2" t="s">
        <v>498</v>
      </c>
      <c r="E52" s="2" t="s">
        <v>499</v>
      </c>
      <c r="F52" s="2" t="s">
        <v>500</v>
      </c>
      <c r="G52" s="2" t="s">
        <v>501</v>
      </c>
      <c r="H52" s="2" t="s">
        <v>502</v>
      </c>
      <c r="I52" s="2" t="s">
        <v>503</v>
      </c>
    </row>
    <row r="53" spans="1:9">
      <c r="A53" t="s">
        <v>21</v>
      </c>
      <c r="B53">
        <v>42.4</v>
      </c>
      <c r="C53">
        <v>82.2</v>
      </c>
      <c r="D53">
        <v>69.4</v>
      </c>
      <c r="E53">
        <v>76.4</v>
      </c>
      <c r="F53">
        <v>83.96</v>
      </c>
      <c r="G53">
        <v>89.24</v>
      </c>
      <c r="H53">
        <f t="shared" ref="H53:H70" si="2">(D53+F53)/2</f>
        <v>76.68</v>
      </c>
      <c r="I53">
        <f t="shared" ref="I53:I70" si="3">(E53+G53)/2</f>
        <v>82.82</v>
      </c>
    </row>
    <row r="54" spans="1:9">
      <c r="A54" t="s">
        <v>22</v>
      </c>
      <c r="B54">
        <v>68</v>
      </c>
      <c r="C54">
        <v>72</v>
      </c>
      <c r="D54">
        <v>83.4</v>
      </c>
      <c r="E54">
        <v>82.4</v>
      </c>
      <c r="F54">
        <v>85.36</v>
      </c>
      <c r="G54">
        <v>84.64</v>
      </c>
      <c r="H54">
        <f t="shared" si="2"/>
        <v>84.38</v>
      </c>
      <c r="I54">
        <f t="shared" si="3"/>
        <v>83.52</v>
      </c>
    </row>
    <row r="55" spans="1:9">
      <c r="A55" t="s">
        <v>23</v>
      </c>
      <c r="B55">
        <v>65.8</v>
      </c>
      <c r="C55">
        <v>82.4</v>
      </c>
      <c r="D55">
        <v>85.4</v>
      </c>
      <c r="E55">
        <v>82.4</v>
      </c>
      <c r="F55">
        <v>87.92</v>
      </c>
      <c r="G55">
        <v>90.76</v>
      </c>
      <c r="H55">
        <f t="shared" si="2"/>
        <v>86.66</v>
      </c>
      <c r="I55">
        <f t="shared" si="3"/>
        <v>86.58</v>
      </c>
    </row>
    <row r="56" spans="1:9">
      <c r="A56" t="s">
        <v>25</v>
      </c>
      <c r="B56">
        <v>59.6</v>
      </c>
      <c r="C56">
        <v>86</v>
      </c>
      <c r="D56">
        <v>84.4</v>
      </c>
      <c r="E56">
        <v>90.6</v>
      </c>
      <c r="F56">
        <v>86.16</v>
      </c>
      <c r="G56">
        <v>93.04</v>
      </c>
      <c r="H56">
        <f t="shared" si="2"/>
        <v>85.28</v>
      </c>
      <c r="I56">
        <f t="shared" si="3"/>
        <v>91.82</v>
      </c>
    </row>
    <row r="57" spans="1:9">
      <c r="A57" t="s">
        <v>26</v>
      </c>
      <c r="B57">
        <v>60.2</v>
      </c>
      <c r="C57">
        <v>81.6</v>
      </c>
      <c r="D57">
        <v>83.4</v>
      </c>
      <c r="E57">
        <v>82.4</v>
      </c>
      <c r="F57">
        <v>85.16</v>
      </c>
      <c r="G57">
        <v>85.44</v>
      </c>
      <c r="H57">
        <f t="shared" si="2"/>
        <v>84.28</v>
      </c>
      <c r="I57">
        <f t="shared" si="3"/>
        <v>83.92</v>
      </c>
    </row>
    <row r="58" spans="1:9">
      <c r="A58" t="s">
        <v>27</v>
      </c>
      <c r="B58">
        <v>60.2</v>
      </c>
      <c r="C58">
        <v>81.2</v>
      </c>
      <c r="D58">
        <v>84.4</v>
      </c>
      <c r="E58">
        <v>82.4</v>
      </c>
      <c r="F58">
        <v>83.2</v>
      </c>
      <c r="G58">
        <v>87.24</v>
      </c>
      <c r="H58">
        <f t="shared" si="2"/>
        <v>83.8</v>
      </c>
      <c r="I58">
        <f t="shared" si="3"/>
        <v>84.82</v>
      </c>
    </row>
    <row r="59" spans="1:9">
      <c r="A59" t="s">
        <v>28</v>
      </c>
      <c r="B59">
        <v>60.2</v>
      </c>
      <c r="C59">
        <v>81.8</v>
      </c>
      <c r="D59">
        <v>83.4</v>
      </c>
      <c r="E59">
        <v>85.2</v>
      </c>
      <c r="F59">
        <v>83.6</v>
      </c>
      <c r="G59">
        <v>93.68</v>
      </c>
      <c r="H59">
        <f t="shared" si="2"/>
        <v>83.5</v>
      </c>
      <c r="I59">
        <f t="shared" si="3"/>
        <v>89.44</v>
      </c>
    </row>
    <row r="60" spans="1:9">
      <c r="A60" t="s">
        <v>30</v>
      </c>
      <c r="B60">
        <v>64.6</v>
      </c>
      <c r="C60">
        <v>86</v>
      </c>
      <c r="D60">
        <v>85</v>
      </c>
      <c r="E60">
        <v>90.6</v>
      </c>
      <c r="F60">
        <v>83.68</v>
      </c>
      <c r="G60">
        <v>89.96</v>
      </c>
      <c r="H60">
        <f t="shared" si="2"/>
        <v>84.34</v>
      </c>
      <c r="I60">
        <f t="shared" si="3"/>
        <v>90.28</v>
      </c>
    </row>
    <row r="61" spans="1:9">
      <c r="A61" t="s">
        <v>31</v>
      </c>
      <c r="B61">
        <v>41.6</v>
      </c>
      <c r="C61">
        <v>81.6</v>
      </c>
      <c r="D61">
        <v>81.4</v>
      </c>
      <c r="E61">
        <v>85.2</v>
      </c>
      <c r="F61">
        <v>83.48</v>
      </c>
      <c r="G61">
        <v>85.44</v>
      </c>
      <c r="H61">
        <f t="shared" si="2"/>
        <v>82.44</v>
      </c>
      <c r="I61">
        <f t="shared" si="3"/>
        <v>85.32</v>
      </c>
    </row>
    <row r="62" spans="1:9">
      <c r="A62" t="s">
        <v>32</v>
      </c>
      <c r="B62">
        <v>59.6</v>
      </c>
      <c r="C62">
        <v>81.6</v>
      </c>
      <c r="D62">
        <v>25.4</v>
      </c>
      <c r="E62">
        <v>85.2</v>
      </c>
      <c r="F62">
        <v>43</v>
      </c>
      <c r="G62">
        <v>89.56</v>
      </c>
      <c r="H62">
        <f t="shared" si="2"/>
        <v>34.2</v>
      </c>
      <c r="I62">
        <f t="shared" si="3"/>
        <v>87.38</v>
      </c>
    </row>
    <row r="63" spans="1:9">
      <c r="A63" t="s">
        <v>33</v>
      </c>
      <c r="B63">
        <v>59.6</v>
      </c>
      <c r="C63">
        <v>86</v>
      </c>
      <c r="D63">
        <v>25.4</v>
      </c>
      <c r="E63">
        <v>90.2</v>
      </c>
      <c r="F63">
        <v>43</v>
      </c>
      <c r="G63">
        <v>92.6</v>
      </c>
      <c r="H63">
        <f t="shared" si="2"/>
        <v>34.2</v>
      </c>
      <c r="I63">
        <f t="shared" si="3"/>
        <v>91.4</v>
      </c>
    </row>
    <row r="64" spans="1:9">
      <c r="A64" t="s">
        <v>35</v>
      </c>
      <c r="B64">
        <v>39.6</v>
      </c>
      <c r="C64">
        <v>82.2</v>
      </c>
      <c r="D64">
        <v>25.4</v>
      </c>
      <c r="E64">
        <v>83.2</v>
      </c>
      <c r="F64">
        <v>38</v>
      </c>
      <c r="G64">
        <v>87.8</v>
      </c>
      <c r="H64">
        <f t="shared" si="2"/>
        <v>31.7</v>
      </c>
      <c r="I64">
        <f t="shared" si="3"/>
        <v>85.5</v>
      </c>
    </row>
    <row r="65" spans="1:9">
      <c r="A65" t="s">
        <v>36</v>
      </c>
      <c r="B65">
        <v>56.4</v>
      </c>
      <c r="C65">
        <v>61</v>
      </c>
      <c r="D65">
        <v>80.4</v>
      </c>
      <c r="E65">
        <v>83.2</v>
      </c>
      <c r="F65">
        <v>77.84</v>
      </c>
      <c r="G65">
        <v>84.2</v>
      </c>
      <c r="H65">
        <f t="shared" si="2"/>
        <v>79.12</v>
      </c>
      <c r="I65">
        <f t="shared" si="3"/>
        <v>83.7</v>
      </c>
    </row>
    <row r="66" spans="1:9">
      <c r="A66" t="s">
        <v>38</v>
      </c>
      <c r="B66">
        <v>64.6</v>
      </c>
      <c r="C66">
        <v>93.2</v>
      </c>
      <c r="D66">
        <v>84.4</v>
      </c>
      <c r="E66">
        <v>90.2</v>
      </c>
      <c r="F66">
        <v>83.68</v>
      </c>
      <c r="G66">
        <v>95.8</v>
      </c>
      <c r="H66">
        <f t="shared" si="2"/>
        <v>84.04</v>
      </c>
      <c r="I66">
        <f t="shared" si="3"/>
        <v>93</v>
      </c>
    </row>
    <row r="67" spans="1:9">
      <c r="A67" t="s">
        <v>43</v>
      </c>
      <c r="B67">
        <v>42.4</v>
      </c>
      <c r="C67">
        <v>81.6</v>
      </c>
      <c r="D67">
        <v>80.4</v>
      </c>
      <c r="E67">
        <v>85.2</v>
      </c>
      <c r="F67">
        <v>81.28</v>
      </c>
      <c r="G67">
        <v>84.64</v>
      </c>
      <c r="H67">
        <f t="shared" si="2"/>
        <v>80.84</v>
      </c>
      <c r="I67">
        <f t="shared" si="3"/>
        <v>84.92</v>
      </c>
    </row>
    <row r="68" spans="1:9">
      <c r="A68" t="s">
        <v>45</v>
      </c>
      <c r="B68">
        <v>33.6</v>
      </c>
      <c r="C68">
        <v>81.8</v>
      </c>
      <c r="D68">
        <v>34.4</v>
      </c>
      <c r="E68">
        <v>84.2</v>
      </c>
      <c r="F68">
        <v>35.8</v>
      </c>
      <c r="G68">
        <v>93.64</v>
      </c>
      <c r="H68">
        <f t="shared" si="2"/>
        <v>35.1</v>
      </c>
      <c r="I68">
        <f t="shared" si="3"/>
        <v>88.92</v>
      </c>
    </row>
    <row r="69" spans="1:9">
      <c r="A69" t="s">
        <v>51</v>
      </c>
      <c r="B69">
        <v>65.2</v>
      </c>
      <c r="C69">
        <v>82.4</v>
      </c>
      <c r="D69">
        <v>56.4</v>
      </c>
      <c r="E69">
        <v>83.2</v>
      </c>
      <c r="F69">
        <v>71.96</v>
      </c>
      <c r="G69">
        <v>89.44</v>
      </c>
      <c r="H69">
        <f t="shared" si="2"/>
        <v>64.18</v>
      </c>
      <c r="I69">
        <f t="shared" si="3"/>
        <v>86.32</v>
      </c>
    </row>
    <row r="70" spans="1:9">
      <c r="A70" t="s">
        <v>53</v>
      </c>
      <c r="B70">
        <v>63.8</v>
      </c>
      <c r="C70">
        <v>86</v>
      </c>
      <c r="D70">
        <v>81.4</v>
      </c>
      <c r="E70">
        <v>85.2</v>
      </c>
      <c r="F70">
        <v>83.68</v>
      </c>
      <c r="G70">
        <v>89.96</v>
      </c>
      <c r="H70">
        <f t="shared" si="2"/>
        <v>82.54</v>
      </c>
      <c r="I70">
        <f t="shared" si="3"/>
        <v>87.58</v>
      </c>
    </row>
    <row r="71" spans="1:9">
      <c r="B71" s="10">
        <f>AVERAGE(B53:B70)</f>
        <v>55.9666666666667</v>
      </c>
      <c r="C71" s="10">
        <f t="shared" ref="C71:I71" si="4">AVERAGE(C53:C70)</f>
        <v>81.7</v>
      </c>
      <c r="D71" s="10">
        <f t="shared" si="4"/>
        <v>68.5444444444445</v>
      </c>
      <c r="E71" s="10">
        <f t="shared" si="4"/>
        <v>84.8555555555556</v>
      </c>
      <c r="F71" s="10">
        <f t="shared" si="4"/>
        <v>73.3755555555556</v>
      </c>
      <c r="G71" s="10">
        <f t="shared" si="4"/>
        <v>89.2822222222222</v>
      </c>
      <c r="H71" s="10">
        <f t="shared" si="4"/>
        <v>70.96</v>
      </c>
      <c r="I71" s="10">
        <f t="shared" si="4"/>
        <v>87.0688888888889</v>
      </c>
    </row>
    <row r="72" spans="1:9">
      <c r="A72" s="2" t="s">
        <v>504</v>
      </c>
      <c r="B72" s="2" t="s">
        <v>505</v>
      </c>
      <c r="C72" s="2" t="s">
        <v>506</v>
      </c>
    </row>
    <row r="73" spans="1:9">
      <c r="A73" t="s">
        <v>507</v>
      </c>
      <c r="B73" s="13" cm="1">
        <f t="array" ref="B73">CORREL(B53:B70,H53:H70)</f>
        <v>0.413459514092082</v>
      </c>
      <c r="C73" s="13">
        <f>CORREL(C53:C70,I53:I70)</f>
        <v>0.652270005931553</v>
      </c>
    </row>
    <row r="74" spans="1:9">
      <c r="A74" t="s">
        <v>508</v>
      </c>
      <c r="B74" s="13" cm="1">
        <f t="array" ref="B74">SUMPRODUCT(ABS(B53:B70-H53:H70))/18</f>
        <v>21.6288888888889</v>
      </c>
      <c r="C74" s="13">
        <f>SUMPRODUCT(ABS(C53:C70-I53:I70))/18</f>
        <v>5.39111111111111</v>
      </c>
    </row>
    <row r="75" spans="1:9">
      <c r="A75" t="s">
        <v>509</v>
      </c>
      <c r="B75" s="13">
        <f>AVERAGE(H53:H70)-AVERAGE(B53:B70)</f>
        <v>14.9933333333333</v>
      </c>
      <c r="C75" s="13">
        <f>AVERAGE(I53:I70)-AVERAGE(C53:C70)</f>
        <v>5.36888888888889</v>
      </c>
    </row>
    <row r="76" spans="1:9">
      <c r="A76" t="s">
        <v>510</v>
      </c>
      <c r="B76" s="10" cm="1">
        <f t="array" ref="B76">(2*_xlfn.COVARIANCE.P(B53:B70,H53:H70))/(_xlfn.VAR.P(B53:B70)+_xlfn.VAR.P(H53:H70)+(AVERAGE(B53:B70)-AVERAGE(H53:H70))^2)</f>
        <v>0.235269579850006</v>
      </c>
      <c r="C76" s="10" cm="1">
        <f t="array" ref="C76">(2*_xlfn.COVARIANCE.P(C53:C70,I53:I70))/(_xlfn.VAR.P(C53:C70)+_xlfn.VAR.P(I53:I70)+(AVERAGE(C53:C70)-AVERAGE(I53:I70))^2)</f>
        <v>0.31957785026905</v>
      </c>
    </row>
    <row r="77" spans="1:9">
      <c r="A77" t="s">
        <v>511</v>
      </c>
      <c r="B77" s="10" cm="1">
        <f t="array" ref="B77">AVERAGE(C53:C70-B53:B70)/(_xlfn.STDEV.S(C53:C70-B53:B70)/SQRT(18))</f>
        <v>8.89727747094439</v>
      </c>
      <c r="C77" s="15"/>
    </row>
    <row r="78" spans="1:9">
      <c r="A78" t="s">
        <v>512</v>
      </c>
      <c r="B78" s="10" cm="1">
        <f t="array" ref="B78">AVERAGE(E53:E70-D53:D70)/(_xlfn.STDEV.S(E53:E70-D53:D70)/SQRT(18))</f>
        <v>2.88878413606855</v>
      </c>
      <c r="C78" s="15"/>
    </row>
    <row r="79" spans="1:9">
      <c r="A79" t="s">
        <v>513</v>
      </c>
      <c r="B79" s="10" cm="1">
        <f t="array" ref="B79">AVERAGE(G53:G70-F53:F70)/(_xlfn.STDEV.S(G53:G70-F53:F70)/SQRT(18))</f>
        <v>3.40249891421163</v>
      </c>
      <c r="C79" s="15"/>
    </row>
    <row r="80" spans="1:9">
      <c r="B80" s="15"/>
      <c r="C80" s="15"/>
    </row>
    <row r="81" spans="1:3">
      <c r="A81" s="2" t="s">
        <v>514</v>
      </c>
      <c r="B81" s="2" t="s">
        <v>346</v>
      </c>
      <c r="C81" s="2" t="s">
        <v>350</v>
      </c>
    </row>
    <row r="82" spans="1:3">
      <c r="A82" t="s">
        <v>515</v>
      </c>
      <c r="B82" s="13">
        <f>CORREL(D53:D70,F53:F70)</f>
        <v>0.97008308610654</v>
      </c>
      <c r="C82" s="13">
        <f>CORREL(E53:E70,G53:G70)</f>
        <v>0.485787104308254</v>
      </c>
    </row>
    <row r="83" spans="1:3">
      <c r="A83" t="s">
        <v>516</v>
      </c>
      <c r="B83" s="13">
        <f>SUMPRODUCT(ABS(D53:D70-F53:F70))/18</f>
        <v>5.47555555555555</v>
      </c>
      <c r="C83" s="13">
        <f>SUMPRODUCT(ABS(E53:E70-G53:G70))/18</f>
        <v>4.56</v>
      </c>
    </row>
    <row r="84" spans="1:3">
      <c r="A84" t="s">
        <v>517</v>
      </c>
      <c r="B84" s="13">
        <f>AVERAGE(D53:D70)</f>
        <v>68.5444444444445</v>
      </c>
      <c r="C84" s="13">
        <f>AVERAGE(E53:E70)</f>
        <v>84.8555555555556</v>
      </c>
    </row>
    <row r="85" spans="1:3">
      <c r="A85" t="s">
        <v>518</v>
      </c>
      <c r="B85" s="13">
        <f>AVERAGE(F53:F70)</f>
        <v>73.3755555555556</v>
      </c>
      <c r="C85" s="13">
        <f>AVERAGE(G53:G70)</f>
        <v>89.2822222222222</v>
      </c>
    </row>
    <row r="86" spans="1:3">
      <c r="A86" t="s">
        <v>277</v>
      </c>
      <c r="B86" s="10">
        <f>AVERAGE(D53:D70,F53:F70)</f>
        <v>70.96</v>
      </c>
      <c r="C86" s="10">
        <f>AVERAGE(E53:E70,G53:G70)</f>
        <v>87.0688888888889</v>
      </c>
    </row>
    <row r="87" spans="1:3">
      <c r="A87" t="s">
        <v>278</v>
      </c>
      <c r="B87" s="10">
        <f>2*DEVSQ(H53:H70)</f>
        <v>15039.9104</v>
      </c>
      <c r="C87" s="10">
        <f>2*DEVSQ(I53:I70)</f>
        <v>328.270755555556</v>
      </c>
    </row>
    <row r="88" spans="1:3">
      <c r="A88" t="s">
        <v>279</v>
      </c>
      <c r="B88" s="10">
        <f>18*DEVSQ(D71,F71)</f>
        <v>210.05671111111</v>
      </c>
      <c r="C88" s="10">
        <f>18*DEVSQ(E71,G71)</f>
        <v>176.3584</v>
      </c>
    </row>
    <row r="89" spans="1:3">
      <c r="A89" t="s">
        <v>280</v>
      </c>
      <c r="B89" s="10">
        <f>DEVSQ(D53:D70,F53:F70)</f>
        <v>15675.5744</v>
      </c>
      <c r="C89" s="10">
        <f>DEVSQ(E53:E70,G53:G70)</f>
        <v>618.312355555555</v>
      </c>
    </row>
    <row r="90" spans="1:3">
      <c r="A90" t="s">
        <v>281</v>
      </c>
      <c r="B90" s="10">
        <f>B89-B87-B88</f>
        <v>425.607288888892</v>
      </c>
      <c r="C90" s="10">
        <f>C89-C87-C88</f>
        <v>113.683199999999</v>
      </c>
    </row>
    <row r="91" spans="1:3">
      <c r="A91" t="s">
        <v>282</v>
      </c>
      <c r="B91" s="10">
        <f>B87/(18-1)</f>
        <v>884.700611764706</v>
      </c>
      <c r="C91" s="10">
        <f>C87/(18-1)</f>
        <v>19.3100444444445</v>
      </c>
    </row>
    <row r="92" spans="1:3">
      <c r="A92" t="s">
        <v>283</v>
      </c>
      <c r="B92" s="10">
        <f>B88/(2-1)</f>
        <v>210.05671111111</v>
      </c>
      <c r="C92" s="10">
        <f>C88/(2-1)</f>
        <v>176.3584</v>
      </c>
    </row>
    <row r="93" spans="1:3">
      <c r="A93" t="s">
        <v>284</v>
      </c>
      <c r="B93" s="10">
        <f>B90/((18-1)*(2-1))</f>
        <v>25.0357228758172</v>
      </c>
      <c r="C93" s="10">
        <f>C90/((18-1)*(2-1))</f>
        <v>6.68724705882349</v>
      </c>
    </row>
    <row r="94" spans="1:3">
      <c r="A94" t="s">
        <v>315</v>
      </c>
      <c r="B94" s="10">
        <f>(B91-B93)/(B91+(2-1)*B93)</f>
        <v>0.944960485972653</v>
      </c>
      <c r="C94" s="10">
        <f>(C91-C93)/(C91+(2-1)*C93)</f>
        <v>0.485542787564398</v>
      </c>
    </row>
    <row r="95" spans="1:3">
      <c r="A95" t="s">
        <v>316</v>
      </c>
      <c r="B95" s="10">
        <f>(B91-B93)/(B91+(2-1)*B93+2*(B92-B93)/18)</f>
        <v>0.924078499418583</v>
      </c>
      <c r="C95" s="10">
        <f>(C91-C93)/(C91+(2-1)*C93+2*(C92-C93)/18)</f>
        <v>0.281447005384091</v>
      </c>
    </row>
    <row r="96" spans="1:3">
      <c r="A96" t="s">
        <v>519</v>
      </c>
      <c r="B96" s="13" cm="1">
        <f t="array" ref="B96">SUMPRODUCT(ABS(D53:D70-F53:F70))/18</f>
        <v>5.47555555555555</v>
      </c>
      <c r="C96" s="13" cm="1">
        <f t="array" ref="C96">SUMPRODUCT(ABS(E53:E70-G53:G70))/18</f>
        <v>4.56</v>
      </c>
    </row>
    <row r="97" spans="2:3">
      <c r="B97" s="10"/>
      <c r="C97" s="10"/>
    </row>
    <row r="98" spans="2:3">
      <c r="B98" s="10"/>
      <c r="C98" s="10"/>
    </row>
    <row r="99" spans="2:3">
      <c r="B99" s="10"/>
      <c r="C99" s="10"/>
    </row>
    <row r="100" spans="2:3">
      <c r="B100" s="10"/>
      <c r="C100" s="10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zoomScale="205" zoomScaleNormal="205" workbookViewId="0">
      <selection activeCell="B79" sqref="B79"/>
    </sheetView>
  </sheetViews>
  <sheetFormatPr defaultColWidth="9" defaultRowHeight="13.5" outlineLevelCol="5"/>
  <cols>
    <col min="1" max="1" width="21.7" customWidth="1"/>
    <col min="2" max="3" width="12.625"/>
  </cols>
  <sheetData>
    <row r="1" ht="15" spans="1:4">
      <c r="A1" s="11" t="s">
        <v>520</v>
      </c>
    </row>
    <row r="4" spans="1:4">
      <c r="A4" s="2" t="s">
        <v>74</v>
      </c>
      <c r="B4" s="2" t="s">
        <v>521</v>
      </c>
      <c r="C4" s="2" t="s">
        <v>522</v>
      </c>
      <c r="D4" s="2" t="s">
        <v>523</v>
      </c>
    </row>
    <row r="5" spans="1:4">
      <c r="A5" t="s">
        <v>20</v>
      </c>
      <c r="B5">
        <v>57.2</v>
      </c>
      <c r="C5">
        <v>80.6</v>
      </c>
      <c r="D5">
        <f t="shared" ref="D5:D40" si="0">C5-B5</f>
        <v>23.4</v>
      </c>
    </row>
    <row r="6" spans="1:4">
      <c r="A6" t="s">
        <v>21</v>
      </c>
      <c r="B6">
        <v>42.4</v>
      </c>
      <c r="C6">
        <v>82.2</v>
      </c>
      <c r="D6">
        <f t="shared" si="0"/>
        <v>39.8</v>
      </c>
    </row>
    <row r="7" spans="1:4">
      <c r="A7" t="s">
        <v>22</v>
      </c>
      <c r="B7">
        <v>68</v>
      </c>
      <c r="C7">
        <v>72</v>
      </c>
      <c r="D7">
        <f t="shared" si="0"/>
        <v>4</v>
      </c>
    </row>
    <row r="8" spans="1:4">
      <c r="A8" t="s">
        <v>23</v>
      </c>
      <c r="B8">
        <v>65.8</v>
      </c>
      <c r="C8">
        <v>82.4</v>
      </c>
      <c r="D8">
        <f t="shared" si="0"/>
        <v>16.6</v>
      </c>
    </row>
    <row r="9" spans="1:4">
      <c r="A9" t="s">
        <v>24</v>
      </c>
      <c r="B9">
        <v>57.2</v>
      </c>
      <c r="C9">
        <v>81.6</v>
      </c>
      <c r="D9">
        <f t="shared" si="0"/>
        <v>24.4</v>
      </c>
    </row>
    <row r="10" spans="1:4">
      <c r="A10" t="s">
        <v>25</v>
      </c>
      <c r="B10">
        <v>59.6</v>
      </c>
      <c r="C10">
        <v>86</v>
      </c>
      <c r="D10">
        <f t="shared" si="0"/>
        <v>26.4</v>
      </c>
    </row>
    <row r="11" spans="1:4">
      <c r="A11" t="s">
        <v>26</v>
      </c>
      <c r="B11">
        <v>60.2</v>
      </c>
      <c r="C11">
        <v>81.6</v>
      </c>
      <c r="D11">
        <f t="shared" si="0"/>
        <v>21.4</v>
      </c>
    </row>
    <row r="12" spans="1:4">
      <c r="A12" t="s">
        <v>27</v>
      </c>
      <c r="B12">
        <v>60.2</v>
      </c>
      <c r="C12">
        <v>81.2</v>
      </c>
      <c r="D12">
        <f t="shared" si="0"/>
        <v>21</v>
      </c>
    </row>
    <row r="13" spans="1:4">
      <c r="A13" t="s">
        <v>28</v>
      </c>
      <c r="B13">
        <v>60.2</v>
      </c>
      <c r="C13">
        <v>81.8</v>
      </c>
      <c r="D13">
        <f t="shared" si="0"/>
        <v>21.6</v>
      </c>
    </row>
    <row r="14" spans="1:4">
      <c r="A14" t="s">
        <v>29</v>
      </c>
      <c r="B14">
        <v>0</v>
      </c>
      <c r="C14">
        <v>83</v>
      </c>
      <c r="D14">
        <f t="shared" si="0"/>
        <v>83</v>
      </c>
    </row>
    <row r="15" spans="1:4">
      <c r="A15" t="s">
        <v>30</v>
      </c>
      <c r="B15">
        <v>64.6</v>
      </c>
      <c r="C15">
        <v>86</v>
      </c>
      <c r="D15">
        <f t="shared" si="0"/>
        <v>21.4</v>
      </c>
    </row>
    <row r="16" spans="1:4">
      <c r="A16" t="s">
        <v>31</v>
      </c>
      <c r="B16">
        <v>41.6</v>
      </c>
      <c r="C16">
        <v>81.6</v>
      </c>
      <c r="D16">
        <f t="shared" si="0"/>
        <v>40</v>
      </c>
    </row>
    <row r="17" spans="1:4">
      <c r="A17" t="s">
        <v>32</v>
      </c>
      <c r="B17">
        <v>59.6</v>
      </c>
      <c r="C17">
        <v>81.6</v>
      </c>
      <c r="D17">
        <f t="shared" si="0"/>
        <v>22</v>
      </c>
    </row>
    <row r="18" spans="1:4">
      <c r="A18" t="s">
        <v>33</v>
      </c>
      <c r="B18">
        <v>59.6</v>
      </c>
      <c r="C18">
        <v>86</v>
      </c>
      <c r="D18">
        <f t="shared" si="0"/>
        <v>26.4</v>
      </c>
    </row>
    <row r="19" spans="1:4">
      <c r="A19" t="s">
        <v>34</v>
      </c>
      <c r="B19">
        <v>60.2</v>
      </c>
      <c r="C19">
        <v>81.8</v>
      </c>
      <c r="D19">
        <f t="shared" si="0"/>
        <v>21.6</v>
      </c>
    </row>
    <row r="20" spans="1:4">
      <c r="A20" t="s">
        <v>35</v>
      </c>
      <c r="B20">
        <v>39.6</v>
      </c>
      <c r="C20">
        <v>82.2</v>
      </c>
      <c r="D20">
        <f t="shared" si="0"/>
        <v>42.6</v>
      </c>
    </row>
    <row r="21" spans="1:4">
      <c r="A21" t="s">
        <v>36</v>
      </c>
      <c r="B21">
        <v>56.4</v>
      </c>
      <c r="C21">
        <v>61</v>
      </c>
      <c r="D21">
        <f t="shared" si="0"/>
        <v>4.6</v>
      </c>
    </row>
    <row r="22" spans="1:4">
      <c r="A22" t="s">
        <v>37</v>
      </c>
      <c r="B22">
        <v>60.2</v>
      </c>
      <c r="C22">
        <v>80.6</v>
      </c>
      <c r="D22">
        <f t="shared" si="0"/>
        <v>20.4</v>
      </c>
    </row>
    <row r="23" spans="1:4">
      <c r="A23" t="s">
        <v>38</v>
      </c>
      <c r="B23">
        <v>64.6</v>
      </c>
      <c r="C23">
        <v>93.2</v>
      </c>
      <c r="D23">
        <f t="shared" si="0"/>
        <v>28.6</v>
      </c>
    </row>
    <row r="24" spans="1:4">
      <c r="A24" t="s">
        <v>39</v>
      </c>
      <c r="B24">
        <v>24.4</v>
      </c>
      <c r="C24">
        <v>81.2</v>
      </c>
      <c r="D24">
        <f t="shared" si="0"/>
        <v>56.8</v>
      </c>
    </row>
    <row r="25" spans="1:4">
      <c r="A25" t="s">
        <v>40</v>
      </c>
      <c r="B25">
        <v>57.2</v>
      </c>
      <c r="C25">
        <v>81.6</v>
      </c>
      <c r="D25">
        <f t="shared" si="0"/>
        <v>24.4</v>
      </c>
    </row>
    <row r="26" spans="1:4">
      <c r="A26" t="s">
        <v>41</v>
      </c>
      <c r="B26">
        <v>57.2</v>
      </c>
      <c r="C26">
        <v>43.6</v>
      </c>
      <c r="D26">
        <f t="shared" si="0"/>
        <v>-13.6</v>
      </c>
    </row>
    <row r="27" spans="1:4">
      <c r="A27" t="s">
        <v>42</v>
      </c>
      <c r="B27">
        <v>57.2</v>
      </c>
      <c r="C27">
        <v>80.6</v>
      </c>
      <c r="D27">
        <f t="shared" si="0"/>
        <v>23.4</v>
      </c>
    </row>
    <row r="28" spans="1:4">
      <c r="A28" t="s">
        <v>43</v>
      </c>
      <c r="B28">
        <v>42.4</v>
      </c>
      <c r="C28">
        <v>81.6</v>
      </c>
      <c r="D28">
        <f t="shared" si="0"/>
        <v>39.2</v>
      </c>
    </row>
    <row r="29" spans="1:4">
      <c r="A29" t="s">
        <v>44</v>
      </c>
      <c r="B29">
        <v>63.6</v>
      </c>
      <c r="C29">
        <v>83</v>
      </c>
      <c r="D29">
        <f t="shared" si="0"/>
        <v>19.4</v>
      </c>
    </row>
    <row r="30" spans="1:4">
      <c r="A30" t="s">
        <v>46</v>
      </c>
      <c r="B30">
        <v>0</v>
      </c>
      <c r="C30">
        <v>81.2</v>
      </c>
      <c r="D30">
        <f t="shared" si="0"/>
        <v>81.2</v>
      </c>
    </row>
    <row r="31" spans="1:4">
      <c r="A31" t="s">
        <v>45</v>
      </c>
      <c r="B31">
        <v>33.6</v>
      </c>
      <c r="C31">
        <v>81.8</v>
      </c>
      <c r="D31">
        <f t="shared" si="0"/>
        <v>48.2</v>
      </c>
    </row>
    <row r="32" spans="1:4">
      <c r="A32" t="s">
        <v>47</v>
      </c>
      <c r="B32">
        <v>32.4</v>
      </c>
      <c r="C32">
        <v>83</v>
      </c>
      <c r="D32">
        <f t="shared" si="0"/>
        <v>50.6</v>
      </c>
    </row>
    <row r="33" spans="1:4">
      <c r="A33" t="s">
        <v>48</v>
      </c>
      <c r="B33">
        <v>60.2</v>
      </c>
      <c r="C33">
        <v>69</v>
      </c>
      <c r="D33">
        <f t="shared" si="0"/>
        <v>8.8</v>
      </c>
    </row>
    <row r="34" spans="1:4">
      <c r="A34" t="s">
        <v>49</v>
      </c>
      <c r="B34">
        <v>60.2</v>
      </c>
      <c r="C34">
        <v>86</v>
      </c>
      <c r="D34">
        <f t="shared" si="0"/>
        <v>25.8</v>
      </c>
    </row>
    <row r="35" spans="1:4">
      <c r="A35" t="s">
        <v>50</v>
      </c>
      <c r="B35">
        <v>63</v>
      </c>
      <c r="C35">
        <v>82.2</v>
      </c>
      <c r="D35">
        <f t="shared" si="0"/>
        <v>19.2</v>
      </c>
    </row>
    <row r="36" spans="1:4">
      <c r="A36" t="s">
        <v>51</v>
      </c>
      <c r="B36">
        <v>65.2</v>
      </c>
      <c r="C36">
        <v>82.4</v>
      </c>
      <c r="D36">
        <f t="shared" si="0"/>
        <v>17.2</v>
      </c>
    </row>
    <row r="37" spans="1:4">
      <c r="A37" t="s">
        <v>54</v>
      </c>
      <c r="B37">
        <v>0</v>
      </c>
      <c r="C37">
        <v>82.4</v>
      </c>
      <c r="D37">
        <f t="shared" si="0"/>
        <v>82.4</v>
      </c>
    </row>
    <row r="38" spans="1:4">
      <c r="A38" t="s">
        <v>52</v>
      </c>
      <c r="B38">
        <v>26.6</v>
      </c>
      <c r="C38">
        <v>83</v>
      </c>
      <c r="D38">
        <f t="shared" si="0"/>
        <v>56.4</v>
      </c>
    </row>
    <row r="39" spans="1:4">
      <c r="A39" t="s">
        <v>53</v>
      </c>
      <c r="B39">
        <v>63.8</v>
      </c>
      <c r="C39">
        <v>86</v>
      </c>
      <c r="D39">
        <f t="shared" si="0"/>
        <v>22.2</v>
      </c>
    </row>
    <row r="40" spans="1:4">
      <c r="A40" t="s">
        <v>55</v>
      </c>
      <c r="B40">
        <v>56.4</v>
      </c>
      <c r="C40">
        <v>79</v>
      </c>
      <c r="D40">
        <f t="shared" si="0"/>
        <v>22.6</v>
      </c>
    </row>
    <row r="42" spans="1:4">
      <c r="A42" s="2" t="s">
        <v>524</v>
      </c>
      <c r="B42" s="2" t="s">
        <v>308</v>
      </c>
    </row>
    <row r="43" spans="1:4">
      <c r="A43" t="s">
        <v>525</v>
      </c>
      <c r="B43" s="12">
        <f>AVERAGE(B5:B40)</f>
        <v>50.0166666666667</v>
      </c>
    </row>
    <row r="44" spans="1:4">
      <c r="A44" t="s">
        <v>526</v>
      </c>
      <c r="B44" s="12">
        <f>AVERAGE(C5:C40)</f>
        <v>80.3888888888889</v>
      </c>
    </row>
    <row r="45" spans="1:4">
      <c r="A45" t="s">
        <v>467</v>
      </c>
      <c r="B45" s="12">
        <f>AVERAGE(D5:D40)</f>
        <v>30.3722222222222</v>
      </c>
    </row>
    <row r="46" spans="1:4">
      <c r="A46" t="s">
        <v>527</v>
      </c>
      <c r="B46" s="12">
        <f>_xlfn.SINGLE(TTEST(B5:B40,C5:C40,2,1))</f>
        <v>4.19914916138425e-10</v>
      </c>
    </row>
    <row r="47" spans="1:4">
      <c r="A47" t="s">
        <v>528</v>
      </c>
      <c r="B47" s="12">
        <f>AVERAGE(D5:D40)/(_xlfn.STDEV.S(D5:D40)/SQRT(36))</f>
        <v>8.56002504068658</v>
      </c>
    </row>
    <row r="48" spans="1:4">
      <c r="A48" t="s">
        <v>62</v>
      </c>
      <c r="B48" s="12">
        <f>AVERAGE(D5:D40)/_xlfn.STDEV.S(D5:D40)</f>
        <v>1.42667084011443</v>
      </c>
    </row>
    <row r="52" spans="1:6">
      <c r="A52" s="2" t="s">
        <v>74</v>
      </c>
      <c r="B52" s="2" t="s">
        <v>529</v>
      </c>
      <c r="C52" s="2" t="s">
        <v>530</v>
      </c>
      <c r="D52" s="2" t="s">
        <v>531</v>
      </c>
      <c r="E52" s="2" t="s">
        <v>532</v>
      </c>
    </row>
    <row r="53" spans="1:6">
      <c r="A53" t="s">
        <v>21</v>
      </c>
      <c r="B53">
        <v>39.8</v>
      </c>
      <c r="C53">
        <v>7</v>
      </c>
      <c r="D53">
        <v>5.28</v>
      </c>
      <c r="E53">
        <f t="shared" ref="E53:E70" si="1">(C53+D53)/2</f>
        <v>6.14</v>
      </c>
      <c r="F53">
        <f>B53-E53</f>
        <v>33.66</v>
      </c>
    </row>
    <row r="54" spans="1:6">
      <c r="A54" t="s">
        <v>22</v>
      </c>
      <c r="B54">
        <v>4</v>
      </c>
      <c r="C54">
        <v>-1</v>
      </c>
      <c r="D54">
        <v>-0.719999999999999</v>
      </c>
      <c r="E54">
        <f t="shared" si="1"/>
        <v>-0.859999999999999</v>
      </c>
      <c r="F54">
        <f t="shared" ref="F54:F70" si="2">B54-E54</f>
        <v>4.86</v>
      </c>
    </row>
    <row r="55" spans="1:6">
      <c r="A55" t="s">
        <v>23</v>
      </c>
      <c r="B55">
        <v>16.6</v>
      </c>
      <c r="C55">
        <v>-3</v>
      </c>
      <c r="D55">
        <v>2.84</v>
      </c>
      <c r="E55">
        <f t="shared" si="1"/>
        <v>-0.0799999999999985</v>
      </c>
      <c r="F55">
        <f t="shared" si="2"/>
        <v>16.68</v>
      </c>
    </row>
    <row r="56" spans="1:6">
      <c r="A56" t="s">
        <v>25</v>
      </c>
      <c r="B56">
        <v>26.4</v>
      </c>
      <c r="C56">
        <v>6.19999999999999</v>
      </c>
      <c r="D56">
        <v>6.88000000000001</v>
      </c>
      <c r="E56">
        <f t="shared" si="1"/>
        <v>6.54</v>
      </c>
      <c r="F56">
        <f t="shared" si="2"/>
        <v>19.86</v>
      </c>
    </row>
    <row r="57" spans="1:6">
      <c r="A57" t="s">
        <v>26</v>
      </c>
      <c r="B57">
        <v>21.4</v>
      </c>
      <c r="C57">
        <v>-1</v>
      </c>
      <c r="D57">
        <v>0.280000000000001</v>
      </c>
      <c r="E57">
        <f t="shared" si="1"/>
        <v>-0.359999999999999</v>
      </c>
      <c r="F57">
        <f t="shared" si="2"/>
        <v>21.76</v>
      </c>
    </row>
    <row r="58" spans="1:6">
      <c r="A58" t="s">
        <v>27</v>
      </c>
      <c r="B58">
        <v>21</v>
      </c>
      <c r="C58">
        <v>-2</v>
      </c>
      <c r="D58">
        <v>4.03999999999999</v>
      </c>
      <c r="E58">
        <f t="shared" si="1"/>
        <v>1.02</v>
      </c>
      <c r="F58">
        <f t="shared" si="2"/>
        <v>19.98</v>
      </c>
    </row>
    <row r="59" spans="1:6">
      <c r="A59" t="s">
        <v>28</v>
      </c>
      <c r="B59">
        <v>21.6</v>
      </c>
      <c r="C59">
        <v>1.8</v>
      </c>
      <c r="D59">
        <v>10.08</v>
      </c>
      <c r="E59">
        <f t="shared" si="1"/>
        <v>5.94</v>
      </c>
      <c r="F59">
        <f t="shared" si="2"/>
        <v>15.66</v>
      </c>
    </row>
    <row r="60" spans="1:6">
      <c r="A60" t="s">
        <v>30</v>
      </c>
      <c r="B60">
        <v>21.4</v>
      </c>
      <c r="C60">
        <v>5.59999999999999</v>
      </c>
      <c r="D60">
        <v>6.27999999999999</v>
      </c>
      <c r="E60">
        <f t="shared" si="1"/>
        <v>5.93999999999999</v>
      </c>
      <c r="F60">
        <f t="shared" si="2"/>
        <v>15.46</v>
      </c>
    </row>
    <row r="61" spans="1:6">
      <c r="A61" t="s">
        <v>31</v>
      </c>
      <c r="B61">
        <v>40</v>
      </c>
      <c r="C61">
        <v>3.8</v>
      </c>
      <c r="D61">
        <v>1.95999999999999</v>
      </c>
      <c r="E61">
        <f t="shared" si="1"/>
        <v>2.88</v>
      </c>
      <c r="F61">
        <f t="shared" si="2"/>
        <v>37.12</v>
      </c>
    </row>
    <row r="62" spans="1:6">
      <c r="A62" t="s">
        <v>32</v>
      </c>
      <c r="B62">
        <v>22</v>
      </c>
      <c r="C62">
        <v>59.8</v>
      </c>
      <c r="D62">
        <v>46.56</v>
      </c>
      <c r="E62">
        <f t="shared" si="1"/>
        <v>53.18</v>
      </c>
      <c r="F62">
        <f t="shared" si="2"/>
        <v>-31.18</v>
      </c>
    </row>
    <row r="63" spans="1:6">
      <c r="A63" t="s">
        <v>33</v>
      </c>
      <c r="B63">
        <v>26.4</v>
      </c>
      <c r="C63">
        <v>64.8</v>
      </c>
      <c r="D63">
        <v>49.6</v>
      </c>
      <c r="E63">
        <f t="shared" si="1"/>
        <v>57.2</v>
      </c>
      <c r="F63">
        <f t="shared" si="2"/>
        <v>-30.8</v>
      </c>
    </row>
    <row r="64" spans="1:6">
      <c r="A64" t="s">
        <v>35</v>
      </c>
      <c r="B64">
        <v>42.6</v>
      </c>
      <c r="C64">
        <v>57.8</v>
      </c>
      <c r="D64">
        <v>49.8</v>
      </c>
      <c r="E64">
        <f t="shared" si="1"/>
        <v>53.8</v>
      </c>
      <c r="F64">
        <f t="shared" si="2"/>
        <v>-11.2</v>
      </c>
    </row>
    <row r="65" spans="1:6">
      <c r="A65" t="s">
        <v>36</v>
      </c>
      <c r="B65">
        <v>4.6</v>
      </c>
      <c r="C65">
        <v>2.8</v>
      </c>
      <c r="D65">
        <v>6.36</v>
      </c>
      <c r="E65">
        <f t="shared" si="1"/>
        <v>4.58</v>
      </c>
      <c r="F65">
        <f t="shared" si="2"/>
        <v>0.0199999999999996</v>
      </c>
    </row>
    <row r="66" spans="1:6">
      <c r="A66" t="s">
        <v>38</v>
      </c>
      <c r="B66">
        <v>28.6</v>
      </c>
      <c r="C66">
        <v>5.8</v>
      </c>
      <c r="D66">
        <v>12.12</v>
      </c>
      <c r="E66">
        <f t="shared" si="1"/>
        <v>8.95999999999999</v>
      </c>
      <c r="F66">
        <f t="shared" si="2"/>
        <v>19.64</v>
      </c>
    </row>
    <row r="67" spans="1:6">
      <c r="A67" t="s">
        <v>43</v>
      </c>
      <c r="B67">
        <v>39.2</v>
      </c>
      <c r="C67">
        <v>4.8</v>
      </c>
      <c r="D67">
        <v>3.36</v>
      </c>
      <c r="E67">
        <f t="shared" si="1"/>
        <v>4.08</v>
      </c>
      <c r="F67">
        <f t="shared" si="2"/>
        <v>35.12</v>
      </c>
    </row>
    <row r="68" spans="1:6">
      <c r="A68" t="s">
        <v>45</v>
      </c>
      <c r="B68">
        <v>48.2</v>
      </c>
      <c r="C68">
        <v>49.8</v>
      </c>
      <c r="D68">
        <v>57.84</v>
      </c>
      <c r="E68">
        <f t="shared" si="1"/>
        <v>53.82</v>
      </c>
      <c r="F68">
        <f t="shared" si="2"/>
        <v>-5.62</v>
      </c>
    </row>
    <row r="69" spans="1:6">
      <c r="A69" t="s">
        <v>51</v>
      </c>
      <c r="B69">
        <v>17.2</v>
      </c>
      <c r="C69">
        <v>26.8</v>
      </c>
      <c r="D69">
        <v>17.48</v>
      </c>
      <c r="E69">
        <f t="shared" si="1"/>
        <v>22.14</v>
      </c>
      <c r="F69">
        <f t="shared" si="2"/>
        <v>-4.94</v>
      </c>
    </row>
    <row r="70" spans="1:6">
      <c r="A70" t="s">
        <v>53</v>
      </c>
      <c r="B70">
        <v>22.2</v>
      </c>
      <c r="C70">
        <v>3.8</v>
      </c>
      <c r="D70">
        <v>6.27999999999999</v>
      </c>
      <c r="E70">
        <f t="shared" si="1"/>
        <v>5.03999999999999</v>
      </c>
      <c r="F70">
        <f t="shared" si="2"/>
        <v>17.16</v>
      </c>
    </row>
    <row r="72" spans="1:6">
      <c r="A72" s="2" t="s">
        <v>533</v>
      </c>
      <c r="B72" s="2" t="s">
        <v>308</v>
      </c>
    </row>
    <row r="73" spans="1:6">
      <c r="A73" t="s">
        <v>534</v>
      </c>
      <c r="B73" s="12">
        <f>AVERAGE(B53:B70)</f>
        <v>25.7333333333333</v>
      </c>
    </row>
    <row r="74" spans="1:6">
      <c r="A74" t="s">
        <v>532</v>
      </c>
      <c r="B74" s="12">
        <f>AVERAGE(E53:E70)</f>
        <v>16.1088888888889</v>
      </c>
    </row>
    <row r="75" spans="1:6">
      <c r="A75" t="s">
        <v>535</v>
      </c>
      <c r="B75" s="12" cm="1">
        <f t="array" ref="B75">TTEST(B53:B70,E53:E70,2,1)</f>
        <v>0.0588714356071694</v>
      </c>
    </row>
    <row r="76" spans="1:6">
      <c r="A76" t="s">
        <v>528</v>
      </c>
      <c r="B76" cm="1">
        <f t="array" ref="B76">AVERAGE(B53:B70-E53:E70)/(_xlfn.STDEV.S(B53:B70-E53:E70)/SQRT(18))</f>
        <v>2.02495220104984</v>
      </c>
    </row>
    <row r="77" spans="1:6">
      <c r="A77" t="s">
        <v>536</v>
      </c>
      <c r="B77" cm="1">
        <f t="array" ref="B77">AVERAGE(B53:B70-E53:E70)/_xlfn.STDEV.S(B53:B70-E53:E70)</f>
        <v>0.477285810980322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4"/>
  <sheetViews>
    <sheetView zoomScale="130" zoomScaleNormal="130" topLeftCell="A123" workbookViewId="0">
      <selection activeCell="E214" sqref="E214"/>
    </sheetView>
  </sheetViews>
  <sheetFormatPr defaultColWidth="9" defaultRowHeight="13.5"/>
  <cols>
    <col min="1" max="1" width="39.6833333333333" customWidth="1"/>
    <col min="2" max="2" width="13.125" customWidth="1"/>
    <col min="3" max="3" width="21.5583333333333" customWidth="1"/>
    <col min="4" max="4" width="13.75" customWidth="1"/>
    <col min="5" max="5" width="14.25" customWidth="1"/>
    <col min="6" max="6" width="12.625"/>
  </cols>
  <sheetData>
    <row r="1" spans="1:10">
      <c r="A1" s="1" t="s">
        <v>85</v>
      </c>
      <c r="B1" s="1"/>
      <c r="C1" s="1"/>
      <c r="D1" s="1"/>
      <c r="E1" s="1"/>
      <c r="F1" s="1"/>
    </row>
    <row r="2" spans="1:10">
      <c r="A2" s="2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J2" s="3" t="s">
        <v>94</v>
      </c>
    </row>
    <row r="3" spans="1:10">
      <c r="A3" t="s">
        <v>96</v>
      </c>
      <c r="B3" s="4">
        <v>63.6</v>
      </c>
      <c r="C3" s="4">
        <v>52.6</v>
      </c>
      <c r="D3" s="4">
        <v>58.4</v>
      </c>
      <c r="E3" s="4">
        <v>49.2</v>
      </c>
      <c r="F3" s="4">
        <v>58.8</v>
      </c>
      <c r="J3">
        <v>57.2</v>
      </c>
    </row>
    <row r="4" spans="1:10">
      <c r="A4" t="s">
        <v>97</v>
      </c>
      <c r="B4" s="4">
        <v>82.6</v>
      </c>
      <c r="C4" s="4">
        <v>79</v>
      </c>
      <c r="D4" s="4">
        <v>81.1</v>
      </c>
      <c r="E4" s="4">
        <v>75.6</v>
      </c>
      <c r="F4" s="4">
        <v>75.4</v>
      </c>
      <c r="J4">
        <v>42.4</v>
      </c>
    </row>
    <row r="5" spans="1:10">
      <c r="A5" t="s">
        <v>98</v>
      </c>
      <c r="B5" s="4">
        <v>89.8</v>
      </c>
      <c r="C5" s="4">
        <v>93.8</v>
      </c>
      <c r="D5" s="4">
        <v>89.1</v>
      </c>
      <c r="E5" s="4">
        <v>91.8</v>
      </c>
      <c r="F5" s="4">
        <v>86.4</v>
      </c>
      <c r="J5">
        <v>68</v>
      </c>
    </row>
    <row r="6" spans="1:10">
      <c r="A6" t="s">
        <v>99</v>
      </c>
      <c r="B6" s="4">
        <v>88.8</v>
      </c>
      <c r="C6" s="4">
        <v>93.4</v>
      </c>
      <c r="D6" s="4">
        <v>89.4</v>
      </c>
      <c r="E6" s="4">
        <v>90.8</v>
      </c>
      <c r="F6" s="4">
        <v>87.2</v>
      </c>
      <c r="J6">
        <v>65.8</v>
      </c>
    </row>
    <row r="7" spans="1:10">
      <c r="A7" t="s">
        <v>100</v>
      </c>
      <c r="B7" s="4">
        <v>86.6</v>
      </c>
      <c r="C7" s="4">
        <v>79</v>
      </c>
      <c r="D7" s="4">
        <v>83.4</v>
      </c>
      <c r="E7" s="4">
        <v>88</v>
      </c>
      <c r="F7" s="4">
        <v>86.4</v>
      </c>
      <c r="J7">
        <v>57.2</v>
      </c>
    </row>
    <row r="8" spans="1:10">
      <c r="A8" t="s">
        <v>101</v>
      </c>
      <c r="B8" s="4">
        <v>87</v>
      </c>
      <c r="C8" s="4">
        <v>87.8</v>
      </c>
      <c r="D8" s="4">
        <v>87.1</v>
      </c>
      <c r="E8" s="4">
        <v>86.2</v>
      </c>
      <c r="F8" s="4">
        <v>84.6</v>
      </c>
      <c r="J8">
        <v>59.6</v>
      </c>
    </row>
    <row r="9" spans="1:10">
      <c r="A9" t="s">
        <v>102</v>
      </c>
      <c r="B9" s="4">
        <v>89.4</v>
      </c>
      <c r="C9" s="4">
        <v>89</v>
      </c>
      <c r="D9" s="4">
        <v>86.3</v>
      </c>
      <c r="E9" s="4">
        <v>85.2</v>
      </c>
      <c r="F9" s="4">
        <v>84</v>
      </c>
      <c r="J9">
        <v>60.2</v>
      </c>
    </row>
    <row r="10" spans="1:10">
      <c r="A10" t="s">
        <v>103</v>
      </c>
      <c r="B10" s="4">
        <v>89.4</v>
      </c>
      <c r="C10" s="4">
        <v>85.2</v>
      </c>
      <c r="D10" s="4">
        <v>84.1</v>
      </c>
      <c r="E10" s="4">
        <v>90.4</v>
      </c>
      <c r="F10" s="4">
        <v>87.2</v>
      </c>
      <c r="J10">
        <v>60.2</v>
      </c>
    </row>
    <row r="11" spans="1:10">
      <c r="A11" t="s">
        <v>104</v>
      </c>
      <c r="B11" s="4">
        <v>87.8</v>
      </c>
      <c r="C11" s="4">
        <v>0</v>
      </c>
      <c r="D11" s="4">
        <v>83.1</v>
      </c>
      <c r="E11" s="4">
        <v>84.4</v>
      </c>
      <c r="F11" s="4">
        <v>84.2</v>
      </c>
      <c r="J11">
        <v>60.2</v>
      </c>
    </row>
    <row r="12" spans="1:10">
      <c r="A12" t="s">
        <v>105</v>
      </c>
      <c r="B12" s="4">
        <v>8</v>
      </c>
      <c r="C12" s="4">
        <v>81.6</v>
      </c>
      <c r="D12" s="4">
        <v>5</v>
      </c>
      <c r="E12" s="4">
        <v>0</v>
      </c>
      <c r="F12" s="4">
        <v>8.8</v>
      </c>
      <c r="J12">
        <v>0</v>
      </c>
    </row>
    <row r="13" spans="1:10">
      <c r="A13" t="s">
        <v>106</v>
      </c>
      <c r="B13" s="4">
        <v>89</v>
      </c>
      <c r="C13" s="4">
        <v>33</v>
      </c>
      <c r="D13" s="4">
        <v>86.7</v>
      </c>
      <c r="E13" s="4">
        <v>91.6</v>
      </c>
      <c r="F13" s="4">
        <v>87.2</v>
      </c>
      <c r="J13">
        <v>64.6</v>
      </c>
    </row>
    <row r="14" spans="1:10">
      <c r="A14" t="s">
        <v>107</v>
      </c>
      <c r="B14" s="4">
        <v>86.6</v>
      </c>
      <c r="C14" s="4">
        <v>79.6</v>
      </c>
      <c r="D14" s="4">
        <v>82.4</v>
      </c>
      <c r="E14" s="4">
        <v>86.2</v>
      </c>
      <c r="F14" s="4">
        <v>84</v>
      </c>
      <c r="J14">
        <v>41.6</v>
      </c>
    </row>
    <row r="15" spans="1:10">
      <c r="A15" t="s">
        <v>108</v>
      </c>
      <c r="B15" s="4">
        <v>75.4</v>
      </c>
      <c r="C15" s="4">
        <v>30</v>
      </c>
      <c r="D15" s="4">
        <v>31</v>
      </c>
      <c r="E15" s="4">
        <v>8.6</v>
      </c>
      <c r="F15" s="4">
        <v>48.6</v>
      </c>
      <c r="J15">
        <v>59.6</v>
      </c>
    </row>
    <row r="16" spans="1:10">
      <c r="A16" t="s">
        <v>109</v>
      </c>
      <c r="B16" s="4">
        <v>75.4</v>
      </c>
      <c r="C16" s="4">
        <v>79</v>
      </c>
      <c r="D16" s="4">
        <v>31</v>
      </c>
      <c r="E16" s="4">
        <v>8.6</v>
      </c>
      <c r="F16" s="4">
        <v>48.6</v>
      </c>
      <c r="J16">
        <v>59.6</v>
      </c>
    </row>
    <row r="17" spans="1:10">
      <c r="A17" t="s">
        <v>110</v>
      </c>
      <c r="B17" s="4">
        <v>85.8</v>
      </c>
      <c r="C17" s="4">
        <v>82.8</v>
      </c>
      <c r="D17" s="4">
        <v>76.3</v>
      </c>
      <c r="E17" s="4">
        <v>84.4</v>
      </c>
      <c r="F17" s="4">
        <v>83.6</v>
      </c>
      <c r="J17">
        <v>60.2</v>
      </c>
    </row>
    <row r="18" spans="1:10">
      <c r="A18" t="s">
        <v>111</v>
      </c>
      <c r="B18" s="4">
        <v>21</v>
      </c>
      <c r="C18" s="4">
        <v>79</v>
      </c>
      <c r="D18" s="4">
        <v>24.4</v>
      </c>
      <c r="E18" s="4">
        <v>8.6</v>
      </c>
      <c r="F18" s="4">
        <v>42.8</v>
      </c>
      <c r="J18">
        <v>39.6</v>
      </c>
    </row>
    <row r="19" spans="1:10">
      <c r="A19" t="s">
        <v>112</v>
      </c>
      <c r="B19" s="4">
        <v>85.6</v>
      </c>
      <c r="C19" s="4">
        <v>85.2</v>
      </c>
      <c r="D19" s="4">
        <v>75.8</v>
      </c>
      <c r="E19" s="4">
        <v>82.4</v>
      </c>
      <c r="F19" s="4">
        <v>83</v>
      </c>
      <c r="J19">
        <v>56.4</v>
      </c>
    </row>
    <row r="20" spans="1:10">
      <c r="A20" t="s">
        <v>113</v>
      </c>
      <c r="B20" s="4">
        <v>89.4</v>
      </c>
      <c r="C20" s="4">
        <v>85.2</v>
      </c>
      <c r="D20" s="4">
        <v>84.1</v>
      </c>
      <c r="E20" s="4">
        <v>90.4</v>
      </c>
      <c r="F20" s="4">
        <v>87.2</v>
      </c>
      <c r="J20">
        <v>60.2</v>
      </c>
    </row>
    <row r="21" spans="1:10">
      <c r="A21" t="s">
        <v>114</v>
      </c>
      <c r="B21" s="4">
        <v>93.6</v>
      </c>
      <c r="C21" s="4">
        <v>93</v>
      </c>
      <c r="D21" s="4">
        <v>90.2</v>
      </c>
      <c r="E21" s="4">
        <v>93.8</v>
      </c>
      <c r="F21" s="4">
        <v>93.2</v>
      </c>
      <c r="J21">
        <v>64.6</v>
      </c>
    </row>
    <row r="22" spans="1:10">
      <c r="A22" t="s">
        <v>115</v>
      </c>
      <c r="B22" s="4">
        <v>19.8</v>
      </c>
      <c r="C22" s="4">
        <v>3</v>
      </c>
      <c r="D22" s="4">
        <v>19</v>
      </c>
      <c r="E22" s="4">
        <v>33.4</v>
      </c>
      <c r="F22" s="4">
        <v>22.6</v>
      </c>
      <c r="J22">
        <v>24.4</v>
      </c>
    </row>
    <row r="23" spans="1:10">
      <c r="A23" t="s">
        <v>116</v>
      </c>
      <c r="B23" s="4">
        <v>80.2</v>
      </c>
      <c r="C23" s="4">
        <v>25.2</v>
      </c>
      <c r="D23" s="4">
        <v>48.2</v>
      </c>
      <c r="E23" s="4">
        <v>8.6</v>
      </c>
      <c r="F23" s="4">
        <v>45.4</v>
      </c>
      <c r="J23">
        <v>57.2</v>
      </c>
    </row>
    <row r="24" spans="1:10">
      <c r="A24" t="s">
        <v>117</v>
      </c>
      <c r="B24" s="4">
        <v>90</v>
      </c>
      <c r="C24" s="4">
        <v>89.6</v>
      </c>
      <c r="D24" s="4">
        <v>87.2</v>
      </c>
      <c r="E24" s="4">
        <v>91.2</v>
      </c>
      <c r="F24" s="4">
        <v>87.4</v>
      </c>
      <c r="J24">
        <v>57.2</v>
      </c>
    </row>
    <row r="25" spans="1:10">
      <c r="A25" t="s">
        <v>118</v>
      </c>
      <c r="B25" s="4">
        <v>90</v>
      </c>
      <c r="C25" s="4">
        <v>89.6</v>
      </c>
      <c r="D25" s="4">
        <v>87.6</v>
      </c>
      <c r="E25" s="4">
        <v>88.4</v>
      </c>
      <c r="F25" s="4">
        <v>87.4</v>
      </c>
      <c r="J25">
        <v>57.2</v>
      </c>
    </row>
    <row r="26" spans="1:10">
      <c r="A26" t="s">
        <v>119</v>
      </c>
      <c r="B26" s="4">
        <v>82.2</v>
      </c>
      <c r="C26" s="4">
        <v>67.8</v>
      </c>
      <c r="D26" s="4">
        <v>73</v>
      </c>
      <c r="E26" s="4">
        <v>8.6</v>
      </c>
      <c r="F26" s="4">
        <v>59</v>
      </c>
      <c r="J26">
        <v>42.4</v>
      </c>
    </row>
    <row r="27" spans="1:10">
      <c r="A27" t="s">
        <v>120</v>
      </c>
      <c r="B27" s="4">
        <v>91.6</v>
      </c>
      <c r="C27" s="4">
        <v>94.2</v>
      </c>
      <c r="D27" s="4">
        <v>89.8</v>
      </c>
      <c r="E27" s="4">
        <v>89.4</v>
      </c>
      <c r="F27" s="4">
        <v>89.6</v>
      </c>
      <c r="J27">
        <v>63.6</v>
      </c>
    </row>
    <row r="28" spans="1:10">
      <c r="A28" t="s">
        <v>121</v>
      </c>
      <c r="B28" s="4">
        <v>0</v>
      </c>
      <c r="C28" s="4">
        <v>0</v>
      </c>
      <c r="D28" s="4">
        <v>5</v>
      </c>
      <c r="E28" s="4">
        <v>0</v>
      </c>
      <c r="F28" s="4">
        <v>0</v>
      </c>
      <c r="J28">
        <v>0</v>
      </c>
    </row>
    <row r="29" spans="1:10">
      <c r="A29" t="s">
        <v>122</v>
      </c>
      <c r="B29" s="4">
        <v>23</v>
      </c>
      <c r="C29" s="4">
        <v>17.6</v>
      </c>
      <c r="D29" s="4">
        <v>32.6</v>
      </c>
      <c r="E29" s="4">
        <v>8.6</v>
      </c>
      <c r="F29" s="4">
        <v>36.6</v>
      </c>
      <c r="J29">
        <v>33.6</v>
      </c>
    </row>
    <row r="30" spans="1:10">
      <c r="A30" t="s">
        <v>123</v>
      </c>
      <c r="B30" s="4">
        <v>23</v>
      </c>
      <c r="C30" s="4">
        <v>17.6</v>
      </c>
      <c r="D30" s="4">
        <v>32.6</v>
      </c>
      <c r="E30" s="4">
        <v>8.6</v>
      </c>
      <c r="F30" s="4">
        <v>36.6</v>
      </c>
      <c r="J30">
        <v>32.4</v>
      </c>
    </row>
    <row r="31" spans="1:10">
      <c r="A31" t="s">
        <v>124</v>
      </c>
      <c r="B31" s="4">
        <v>82.4</v>
      </c>
      <c r="C31" s="4">
        <v>76.8</v>
      </c>
      <c r="D31" s="4">
        <v>82.2</v>
      </c>
      <c r="E31" s="4">
        <v>72.4</v>
      </c>
      <c r="F31" s="4">
        <v>82.2</v>
      </c>
      <c r="J31">
        <v>60.2</v>
      </c>
    </row>
    <row r="32" spans="1:10">
      <c r="A32" t="s">
        <v>125</v>
      </c>
      <c r="B32" s="4">
        <v>82.4</v>
      </c>
      <c r="C32" s="4">
        <v>76.8</v>
      </c>
      <c r="D32" s="4">
        <v>82.2</v>
      </c>
      <c r="E32" s="4">
        <v>72.4</v>
      </c>
      <c r="F32" s="4">
        <v>82.2</v>
      </c>
      <c r="J32">
        <v>60.2</v>
      </c>
    </row>
    <row r="33" spans="1:10">
      <c r="A33" t="s">
        <v>126</v>
      </c>
      <c r="B33" s="4">
        <v>91.6</v>
      </c>
      <c r="C33" s="4">
        <v>94.2</v>
      </c>
      <c r="D33" s="4">
        <v>89.8</v>
      </c>
      <c r="E33" s="4">
        <v>89.4</v>
      </c>
      <c r="F33" s="4">
        <v>89.6</v>
      </c>
      <c r="J33">
        <v>63</v>
      </c>
    </row>
    <row r="34" spans="1:10">
      <c r="A34" t="s">
        <v>127</v>
      </c>
      <c r="B34" s="4">
        <v>75.2</v>
      </c>
      <c r="C34" s="4">
        <v>75.6</v>
      </c>
      <c r="D34" s="4">
        <v>89.4</v>
      </c>
      <c r="E34" s="4">
        <v>48</v>
      </c>
      <c r="F34" s="4">
        <v>93.2</v>
      </c>
      <c r="J34">
        <v>65.2</v>
      </c>
    </row>
    <row r="35" spans="1:10">
      <c r="A35" t="s">
        <v>128</v>
      </c>
      <c r="B35" s="4">
        <v>0</v>
      </c>
      <c r="C35" s="4">
        <v>28.8</v>
      </c>
      <c r="D35" s="4">
        <v>5</v>
      </c>
      <c r="E35" s="4">
        <v>0</v>
      </c>
      <c r="F35" s="4">
        <v>0</v>
      </c>
      <c r="J35">
        <v>0</v>
      </c>
    </row>
    <row r="36" spans="1:10">
      <c r="A36" t="s">
        <v>129</v>
      </c>
      <c r="B36" s="4">
        <v>36</v>
      </c>
      <c r="C36" s="4">
        <v>28.8</v>
      </c>
      <c r="D36" s="4">
        <v>42.2</v>
      </c>
      <c r="E36" s="4">
        <v>10.2</v>
      </c>
      <c r="F36" s="4">
        <v>40.6</v>
      </c>
      <c r="J36">
        <v>26.6</v>
      </c>
    </row>
    <row r="37" spans="1:10">
      <c r="A37" t="s">
        <v>130</v>
      </c>
      <c r="B37" s="4">
        <v>91.6</v>
      </c>
      <c r="C37" s="4">
        <v>93</v>
      </c>
      <c r="D37" s="4">
        <v>90.2</v>
      </c>
      <c r="E37" s="4">
        <v>93.8</v>
      </c>
      <c r="F37" s="4">
        <v>93.2</v>
      </c>
      <c r="J37">
        <v>63.8</v>
      </c>
    </row>
    <row r="38" spans="1:10">
      <c r="A38" t="s">
        <v>131</v>
      </c>
      <c r="B38" s="4">
        <v>84.8</v>
      </c>
      <c r="C38" s="4">
        <v>88</v>
      </c>
      <c r="D38" s="4">
        <v>87.3</v>
      </c>
      <c r="E38" s="4">
        <v>83.4</v>
      </c>
      <c r="F38" s="4">
        <v>89</v>
      </c>
      <c r="J38">
        <v>56.4</v>
      </c>
    </row>
    <row r="39" spans="1:10">
      <c r="A39" s="5" t="s">
        <v>132</v>
      </c>
      <c r="B39" s="6">
        <v>89.8</v>
      </c>
      <c r="C39" s="6">
        <v>92.8</v>
      </c>
      <c r="D39" s="6">
        <v>93</v>
      </c>
      <c r="E39" s="6">
        <v>91</v>
      </c>
      <c r="F39" s="6">
        <v>92</v>
      </c>
      <c r="J39" s="6">
        <v>79.6</v>
      </c>
    </row>
    <row r="40" spans="1:10">
      <c r="A40" s="5" t="s">
        <v>133</v>
      </c>
      <c r="B40" s="6">
        <v>75.6</v>
      </c>
      <c r="C40" s="6">
        <v>65.8</v>
      </c>
      <c r="D40" s="6">
        <v>75.7</v>
      </c>
      <c r="E40" s="6">
        <v>56</v>
      </c>
      <c r="F40" s="6">
        <v>73.4</v>
      </c>
      <c r="J40" s="6">
        <v>59.6</v>
      </c>
    </row>
    <row r="41" spans="1:10">
      <c r="A41" s="5" t="s">
        <v>134</v>
      </c>
      <c r="B41" s="6">
        <v>44.6</v>
      </c>
      <c r="C41" s="6">
        <v>37.2</v>
      </c>
      <c r="D41" s="6">
        <v>40.4</v>
      </c>
      <c r="E41" s="6">
        <v>38</v>
      </c>
      <c r="F41" s="6">
        <v>33.4</v>
      </c>
      <c r="J41" s="6">
        <v>51.2</v>
      </c>
    </row>
    <row r="42" spans="1:10">
      <c r="A42" s="5" t="s">
        <v>135</v>
      </c>
      <c r="B42" s="6">
        <v>81.4</v>
      </c>
      <c r="C42" s="6">
        <v>81</v>
      </c>
      <c r="D42" s="6">
        <v>70.3</v>
      </c>
      <c r="E42" s="6">
        <v>65.1</v>
      </c>
      <c r="F42" s="6">
        <v>69</v>
      </c>
      <c r="J42" s="6">
        <v>78.8</v>
      </c>
    </row>
    <row r="43" spans="1:10">
      <c r="A43" s="5" t="s">
        <v>136</v>
      </c>
      <c r="B43" s="6">
        <v>87.2</v>
      </c>
      <c r="C43" s="6">
        <v>90.6</v>
      </c>
      <c r="D43" s="6">
        <v>91.4</v>
      </c>
      <c r="E43" s="6">
        <v>86.8</v>
      </c>
      <c r="F43" s="6">
        <v>86.2</v>
      </c>
      <c r="J43" s="6">
        <v>81.2</v>
      </c>
    </row>
    <row r="44" spans="1:10">
      <c r="A44" s="5" t="s">
        <v>137</v>
      </c>
      <c r="B44" s="6">
        <v>91</v>
      </c>
      <c r="C44" s="6">
        <v>89.2</v>
      </c>
      <c r="D44" s="6">
        <v>92.2</v>
      </c>
      <c r="E44" s="6">
        <v>87</v>
      </c>
      <c r="F44" s="6">
        <v>89.4</v>
      </c>
      <c r="J44" s="6">
        <v>78.4</v>
      </c>
    </row>
    <row r="45" spans="1:10">
      <c r="A45" s="5" t="s">
        <v>138</v>
      </c>
      <c r="B45" s="6">
        <v>88</v>
      </c>
      <c r="C45" s="6">
        <v>88.4</v>
      </c>
      <c r="D45" s="6">
        <v>90.4</v>
      </c>
      <c r="E45" s="6">
        <v>79.6</v>
      </c>
      <c r="F45" s="6">
        <v>88</v>
      </c>
      <c r="J45" s="6">
        <v>79.2</v>
      </c>
    </row>
    <row r="46" spans="1:10">
      <c r="A46" s="5" t="s">
        <v>139</v>
      </c>
      <c r="B46" s="6">
        <v>91</v>
      </c>
      <c r="C46" s="6">
        <v>92.8</v>
      </c>
      <c r="D46" s="6">
        <v>92.6</v>
      </c>
      <c r="E46" s="6">
        <v>91</v>
      </c>
      <c r="F46" s="6">
        <v>90.6</v>
      </c>
      <c r="J46" s="6">
        <v>79.6</v>
      </c>
    </row>
    <row r="47" spans="1:10">
      <c r="A47" s="5" t="s">
        <v>140</v>
      </c>
      <c r="B47" s="6">
        <v>92</v>
      </c>
      <c r="C47" s="6">
        <v>92.2</v>
      </c>
      <c r="D47" s="6">
        <v>92.6</v>
      </c>
      <c r="E47" s="6">
        <v>89.8</v>
      </c>
      <c r="F47" s="6">
        <v>91.9</v>
      </c>
      <c r="J47" s="6">
        <v>85.6</v>
      </c>
    </row>
    <row r="48" spans="1:10">
      <c r="A48" s="5" t="s">
        <v>141</v>
      </c>
      <c r="B48" s="6">
        <v>83.4</v>
      </c>
      <c r="C48" s="6">
        <v>76.6</v>
      </c>
      <c r="D48" s="6">
        <v>73.4</v>
      </c>
      <c r="E48" s="6">
        <v>64</v>
      </c>
      <c r="F48" s="6">
        <v>69</v>
      </c>
      <c r="J48" s="6">
        <v>77.8</v>
      </c>
    </row>
    <row r="49" spans="1:10">
      <c r="A49" s="5" t="s">
        <v>142</v>
      </c>
      <c r="B49" s="6">
        <v>90.8</v>
      </c>
      <c r="C49" s="6">
        <v>90.6</v>
      </c>
      <c r="D49" s="6">
        <v>92.8</v>
      </c>
      <c r="E49" s="6">
        <v>87.2</v>
      </c>
      <c r="F49" s="6">
        <v>92.8</v>
      </c>
      <c r="J49" s="6">
        <v>83.6</v>
      </c>
    </row>
    <row r="50" spans="1:10">
      <c r="A50" s="5" t="s">
        <v>143</v>
      </c>
      <c r="B50" s="6">
        <v>82.2</v>
      </c>
      <c r="C50" s="6">
        <v>76.6</v>
      </c>
      <c r="D50" s="6">
        <v>73.4</v>
      </c>
      <c r="E50" s="6">
        <v>65.4</v>
      </c>
      <c r="F50" s="6">
        <v>69</v>
      </c>
      <c r="J50" s="6">
        <v>77.8</v>
      </c>
    </row>
    <row r="51" spans="1:10">
      <c r="A51" s="5" t="s">
        <v>144</v>
      </c>
      <c r="B51" s="6">
        <v>82.2</v>
      </c>
      <c r="C51" s="6">
        <v>76.2</v>
      </c>
      <c r="D51" s="6">
        <v>73</v>
      </c>
      <c r="E51" s="6">
        <v>63.8</v>
      </c>
      <c r="F51" s="6">
        <v>69</v>
      </c>
      <c r="J51" s="6">
        <v>77.2</v>
      </c>
    </row>
    <row r="52" spans="1:10">
      <c r="A52" s="5" t="s">
        <v>145</v>
      </c>
      <c r="B52" s="6">
        <v>84</v>
      </c>
      <c r="C52" s="6">
        <v>77</v>
      </c>
      <c r="D52" s="6">
        <v>73.4</v>
      </c>
      <c r="E52" s="6">
        <v>67.6</v>
      </c>
      <c r="F52" s="6">
        <v>69.4</v>
      </c>
      <c r="J52" s="6">
        <v>78.8</v>
      </c>
    </row>
    <row r="53" spans="1:10">
      <c r="A53" s="5" t="s">
        <v>146</v>
      </c>
      <c r="B53" s="6">
        <v>87.2</v>
      </c>
      <c r="C53" s="6">
        <v>92.8</v>
      </c>
      <c r="D53" s="6">
        <v>93</v>
      </c>
      <c r="E53" s="6">
        <v>91</v>
      </c>
      <c r="F53" s="6">
        <v>90.6</v>
      </c>
      <c r="J53" s="6">
        <v>79.6</v>
      </c>
    </row>
    <row r="54" spans="1:10">
      <c r="A54" s="5" t="s">
        <v>147</v>
      </c>
      <c r="B54" s="6">
        <v>49.4</v>
      </c>
      <c r="C54" s="6">
        <v>47.2</v>
      </c>
      <c r="D54" s="6">
        <v>43.4</v>
      </c>
      <c r="E54" s="6">
        <v>30.6</v>
      </c>
      <c r="F54" s="6">
        <v>36.6</v>
      </c>
      <c r="J54" s="6">
        <v>62</v>
      </c>
    </row>
    <row r="55" spans="1:10">
      <c r="A55" s="5" t="s">
        <v>148</v>
      </c>
      <c r="B55" s="6">
        <v>70</v>
      </c>
      <c r="C55" s="6">
        <v>71</v>
      </c>
      <c r="D55" s="6">
        <v>68</v>
      </c>
      <c r="E55" s="6">
        <v>52.4</v>
      </c>
      <c r="F55" s="6">
        <v>64.4</v>
      </c>
      <c r="J55" s="6">
        <v>66</v>
      </c>
    </row>
    <row r="56" spans="1:10">
      <c r="A56" s="5" t="s">
        <v>149</v>
      </c>
      <c r="B56" s="6">
        <v>91.8</v>
      </c>
      <c r="C56" s="6">
        <v>92.8</v>
      </c>
      <c r="D56" s="6">
        <v>93</v>
      </c>
      <c r="E56" s="6">
        <v>91</v>
      </c>
      <c r="F56" s="6">
        <v>91.9</v>
      </c>
      <c r="J56" s="6">
        <v>85.4</v>
      </c>
    </row>
    <row r="57" spans="1:10">
      <c r="A57" s="5" t="s">
        <v>150</v>
      </c>
      <c r="B57" s="6">
        <v>93.4</v>
      </c>
      <c r="C57" s="6">
        <v>91.4</v>
      </c>
      <c r="D57" s="6">
        <v>92.2</v>
      </c>
      <c r="E57" s="6">
        <v>93.8</v>
      </c>
      <c r="F57" s="6">
        <v>93.8</v>
      </c>
      <c r="J57" s="6">
        <v>83.6</v>
      </c>
    </row>
    <row r="58" spans="1:10">
      <c r="A58" s="5" t="s">
        <v>151</v>
      </c>
      <c r="B58" s="6">
        <v>45.2</v>
      </c>
      <c r="C58" s="6">
        <v>25.4</v>
      </c>
      <c r="D58" s="6">
        <v>36</v>
      </c>
      <c r="E58" s="6">
        <v>17.4</v>
      </c>
      <c r="F58" s="6">
        <v>29.4</v>
      </c>
      <c r="J58" s="6">
        <v>43.6</v>
      </c>
    </row>
    <row r="59" spans="1:10">
      <c r="A59" s="5" t="s">
        <v>152</v>
      </c>
      <c r="B59" s="6">
        <v>80.8</v>
      </c>
      <c r="C59" s="6">
        <v>69.4</v>
      </c>
      <c r="D59" s="6">
        <v>75.8</v>
      </c>
      <c r="E59" s="6">
        <v>72.6</v>
      </c>
      <c r="F59" s="6">
        <v>75.2</v>
      </c>
      <c r="J59" s="6">
        <v>77.8</v>
      </c>
    </row>
    <row r="60" spans="1:10">
      <c r="A60" s="5" t="s">
        <v>153</v>
      </c>
      <c r="B60" s="6">
        <v>51.8</v>
      </c>
      <c r="C60" s="6">
        <v>53.4</v>
      </c>
      <c r="D60" s="6">
        <v>43.6</v>
      </c>
      <c r="E60" s="6">
        <v>41</v>
      </c>
      <c r="F60" s="6">
        <v>61.8</v>
      </c>
      <c r="J60" s="6">
        <v>80.6</v>
      </c>
    </row>
    <row r="61" spans="1:10">
      <c r="A61" s="5" t="s">
        <v>154</v>
      </c>
      <c r="B61" s="6">
        <v>78.8</v>
      </c>
      <c r="C61" s="6">
        <v>64</v>
      </c>
      <c r="D61" s="6">
        <v>78.2</v>
      </c>
      <c r="E61" s="6">
        <v>66.8</v>
      </c>
      <c r="F61" s="6">
        <v>76</v>
      </c>
      <c r="J61" s="6">
        <v>79.4</v>
      </c>
    </row>
    <row r="62" spans="1:10">
      <c r="A62" s="5" t="s">
        <v>155</v>
      </c>
      <c r="B62" s="6">
        <v>23.8</v>
      </c>
      <c r="C62" s="6">
        <v>7.2</v>
      </c>
      <c r="D62" s="6">
        <v>35.2</v>
      </c>
      <c r="E62" s="6">
        <v>6.8</v>
      </c>
      <c r="F62" s="6">
        <v>23.4</v>
      </c>
      <c r="J62" s="6">
        <v>9</v>
      </c>
    </row>
    <row r="63" spans="1:10">
      <c r="A63" s="5" t="s">
        <v>156</v>
      </c>
      <c r="B63" s="6">
        <v>92.4</v>
      </c>
      <c r="C63" s="6">
        <v>92.4</v>
      </c>
      <c r="D63" s="6">
        <v>92.2</v>
      </c>
      <c r="E63" s="6">
        <v>93.6</v>
      </c>
      <c r="F63" s="6">
        <v>93.8</v>
      </c>
      <c r="J63" s="6">
        <v>91.6</v>
      </c>
    </row>
    <row r="64" spans="1:10">
      <c r="A64" s="5" t="s">
        <v>157</v>
      </c>
      <c r="B64" s="6">
        <v>15.4</v>
      </c>
      <c r="C64" s="6">
        <v>9.2</v>
      </c>
      <c r="D64" s="6">
        <v>21.8</v>
      </c>
      <c r="E64" s="6">
        <v>4.2</v>
      </c>
      <c r="F64" s="6">
        <v>16</v>
      </c>
      <c r="J64" s="6">
        <v>9</v>
      </c>
    </row>
    <row r="65" spans="1:10">
      <c r="A65" s="5" t="s">
        <v>158</v>
      </c>
      <c r="B65" s="6">
        <v>73.4</v>
      </c>
      <c r="C65" s="6">
        <v>54</v>
      </c>
      <c r="D65" s="6">
        <v>74</v>
      </c>
      <c r="E65" s="6">
        <v>46.4</v>
      </c>
      <c r="F65" s="6">
        <v>69.6</v>
      </c>
      <c r="J65" s="6">
        <v>55.2</v>
      </c>
    </row>
    <row r="66" spans="1:10">
      <c r="A66" s="5" t="s">
        <v>159</v>
      </c>
      <c r="B66" s="6">
        <v>46.4</v>
      </c>
      <c r="C66" s="6">
        <v>20.6</v>
      </c>
      <c r="D66" s="6">
        <v>38.2</v>
      </c>
      <c r="E66" s="6">
        <v>13.6</v>
      </c>
      <c r="F66" s="6">
        <v>29.8</v>
      </c>
      <c r="J66" s="6">
        <v>32</v>
      </c>
    </row>
    <row r="67" spans="1:10">
      <c r="A67" s="5" t="s">
        <v>160</v>
      </c>
      <c r="B67" s="6">
        <v>80.8</v>
      </c>
      <c r="C67" s="6">
        <v>69.4</v>
      </c>
      <c r="D67" s="6">
        <v>75.8</v>
      </c>
      <c r="E67" s="6">
        <v>72.6</v>
      </c>
      <c r="F67" s="6">
        <v>75.2</v>
      </c>
      <c r="J67" s="6">
        <v>79.2</v>
      </c>
    </row>
    <row r="68" spans="1:10">
      <c r="A68" s="5" t="s">
        <v>161</v>
      </c>
      <c r="B68" s="6">
        <v>80</v>
      </c>
      <c r="C68" s="6">
        <v>86.2</v>
      </c>
      <c r="D68" s="6">
        <v>86.2</v>
      </c>
      <c r="E68" s="6">
        <v>92</v>
      </c>
      <c r="F68" s="6">
        <v>84.5</v>
      </c>
      <c r="J68" s="6">
        <v>80.4</v>
      </c>
    </row>
    <row r="69" spans="1:10">
      <c r="A69" s="5" t="s">
        <v>162</v>
      </c>
      <c r="B69" s="6">
        <v>93.8</v>
      </c>
      <c r="C69" s="6">
        <v>91</v>
      </c>
      <c r="D69" s="6">
        <v>91.8</v>
      </c>
      <c r="E69" s="6">
        <v>93.6</v>
      </c>
      <c r="F69" s="6">
        <v>92.9</v>
      </c>
      <c r="J69" s="6">
        <v>85.4</v>
      </c>
    </row>
    <row r="70" spans="1:10">
      <c r="A70" s="5" t="s">
        <v>163</v>
      </c>
      <c r="B70" s="6">
        <v>82.6</v>
      </c>
      <c r="C70" s="6">
        <v>83</v>
      </c>
      <c r="D70" s="6">
        <v>88.1</v>
      </c>
      <c r="E70" s="6">
        <v>81.6</v>
      </c>
      <c r="F70" s="6">
        <v>82</v>
      </c>
      <c r="J70" s="6">
        <v>72.4</v>
      </c>
    </row>
    <row r="71" spans="1:10">
      <c r="A71" s="5" t="s">
        <v>164</v>
      </c>
      <c r="B71" s="6">
        <v>76</v>
      </c>
      <c r="C71" s="6">
        <v>58.6</v>
      </c>
      <c r="D71" s="6">
        <v>73.4</v>
      </c>
      <c r="E71" s="6">
        <v>59.8</v>
      </c>
      <c r="F71" s="6">
        <v>72</v>
      </c>
      <c r="J71" s="6">
        <v>62</v>
      </c>
    </row>
    <row r="72" spans="1:10">
      <c r="A72" s="5" t="s">
        <v>165</v>
      </c>
      <c r="B72" s="6">
        <v>74.4</v>
      </c>
      <c r="C72" s="6">
        <v>80.6</v>
      </c>
      <c r="D72" s="6">
        <v>81.7</v>
      </c>
      <c r="E72" s="6">
        <v>73.2</v>
      </c>
      <c r="F72" s="6">
        <v>80.1</v>
      </c>
      <c r="J72" s="6">
        <v>66.8</v>
      </c>
    </row>
    <row r="73" spans="1:10">
      <c r="A73" s="5" t="s">
        <v>166</v>
      </c>
      <c r="B73" s="6">
        <v>93.4</v>
      </c>
      <c r="C73" s="6">
        <v>91.2</v>
      </c>
      <c r="D73" s="6">
        <v>90.8</v>
      </c>
      <c r="E73" s="6">
        <v>93.8</v>
      </c>
      <c r="F73" s="6">
        <v>92.9</v>
      </c>
      <c r="J73" s="6">
        <v>79.2</v>
      </c>
    </row>
    <row r="74" spans="1:10">
      <c r="A74" s="5" t="s">
        <v>167</v>
      </c>
      <c r="B74" s="6">
        <v>81</v>
      </c>
      <c r="C74" s="6">
        <v>71.4</v>
      </c>
      <c r="D74" s="6">
        <v>84.2</v>
      </c>
      <c r="E74" s="6">
        <v>74.6</v>
      </c>
      <c r="F74" s="6">
        <v>73.4</v>
      </c>
      <c r="J74" s="6">
        <v>77.8</v>
      </c>
    </row>
    <row r="75" spans="1:10">
      <c r="A75" t="s">
        <v>168</v>
      </c>
      <c r="B75" s="4">
        <v>88.8</v>
      </c>
      <c r="C75" s="4">
        <v>85.2</v>
      </c>
      <c r="D75" s="4">
        <v>86.2</v>
      </c>
      <c r="E75" s="4">
        <v>87.2</v>
      </c>
      <c r="F75" s="4">
        <v>94.4</v>
      </c>
      <c r="J75">
        <v>91.6</v>
      </c>
    </row>
    <row r="76" spans="1:10">
      <c r="A76" t="s">
        <v>169</v>
      </c>
      <c r="B76" s="4">
        <v>91.6</v>
      </c>
      <c r="C76" s="4">
        <v>81.4</v>
      </c>
      <c r="D76" s="4">
        <v>88</v>
      </c>
      <c r="E76" s="4">
        <v>82.4</v>
      </c>
      <c r="F76" s="4">
        <v>53.8</v>
      </c>
      <c r="J76">
        <v>87.6</v>
      </c>
    </row>
    <row r="77" spans="1:10">
      <c r="A77" t="s">
        <v>170</v>
      </c>
      <c r="B77" s="4">
        <v>88</v>
      </c>
      <c r="C77" s="4">
        <v>72.6</v>
      </c>
      <c r="D77" s="4">
        <v>85.6</v>
      </c>
      <c r="E77" s="4">
        <v>79.6</v>
      </c>
      <c r="F77" s="4">
        <v>87.8</v>
      </c>
      <c r="J77">
        <v>76.2</v>
      </c>
    </row>
    <row r="78" spans="1:10">
      <c r="A78" t="s">
        <v>171</v>
      </c>
      <c r="B78" s="4">
        <v>54</v>
      </c>
      <c r="C78" s="4">
        <v>34.2</v>
      </c>
      <c r="D78" s="4">
        <v>44.6</v>
      </c>
      <c r="E78" s="4">
        <v>33.2</v>
      </c>
      <c r="F78" s="4">
        <v>91.2</v>
      </c>
      <c r="J78">
        <v>28</v>
      </c>
    </row>
    <row r="79" spans="1:10">
      <c r="A79" t="s">
        <v>172</v>
      </c>
      <c r="B79" s="4">
        <v>93</v>
      </c>
      <c r="C79" s="4">
        <v>90.2</v>
      </c>
      <c r="D79" s="4">
        <v>90.4</v>
      </c>
      <c r="E79" s="4">
        <v>91.4</v>
      </c>
      <c r="F79" s="4">
        <v>91.2</v>
      </c>
      <c r="J79">
        <v>93.2</v>
      </c>
    </row>
    <row r="80" spans="1:10">
      <c r="A80" t="s">
        <v>173</v>
      </c>
      <c r="B80" s="4">
        <v>92.4</v>
      </c>
      <c r="C80" s="4">
        <v>87</v>
      </c>
      <c r="D80" s="4">
        <v>90.6</v>
      </c>
      <c r="E80" s="4">
        <v>89.6</v>
      </c>
      <c r="F80" s="4">
        <v>93</v>
      </c>
      <c r="J80">
        <v>91.2</v>
      </c>
    </row>
    <row r="81" spans="1:10">
      <c r="A81" t="s">
        <v>174</v>
      </c>
      <c r="B81" s="4">
        <v>93.6</v>
      </c>
      <c r="C81" s="4">
        <v>85.2</v>
      </c>
      <c r="D81" s="4">
        <v>91.4</v>
      </c>
      <c r="E81" s="4">
        <v>87</v>
      </c>
      <c r="F81" s="4">
        <v>93</v>
      </c>
      <c r="J81">
        <v>94</v>
      </c>
    </row>
    <row r="82" spans="1:10">
      <c r="A82" t="s">
        <v>175</v>
      </c>
      <c r="B82" s="4">
        <v>93</v>
      </c>
      <c r="C82" s="4">
        <v>90.2</v>
      </c>
      <c r="D82" s="4">
        <v>90.4</v>
      </c>
      <c r="E82" s="4">
        <v>89.6</v>
      </c>
      <c r="F82" s="4">
        <v>91.2</v>
      </c>
      <c r="J82">
        <v>93.2</v>
      </c>
    </row>
    <row r="83" spans="1:10">
      <c r="A83" t="s">
        <v>176</v>
      </c>
      <c r="B83" s="4">
        <v>93.6</v>
      </c>
      <c r="C83" s="4">
        <v>89.4</v>
      </c>
      <c r="D83" s="4">
        <v>89.6</v>
      </c>
      <c r="E83" s="4">
        <v>87.8</v>
      </c>
      <c r="F83" s="4">
        <v>93.4</v>
      </c>
      <c r="J83">
        <v>88.6</v>
      </c>
    </row>
    <row r="84" spans="1:10">
      <c r="A84" t="s">
        <v>177</v>
      </c>
      <c r="B84" s="4">
        <v>65.6</v>
      </c>
      <c r="C84" s="4">
        <v>44.6</v>
      </c>
      <c r="D84" s="4">
        <v>58</v>
      </c>
      <c r="E84" s="4">
        <v>28.8</v>
      </c>
      <c r="F84" s="4">
        <v>54.2</v>
      </c>
      <c r="J84">
        <v>45.2</v>
      </c>
    </row>
    <row r="85" spans="1:10">
      <c r="A85" t="s">
        <v>178</v>
      </c>
      <c r="B85" s="4">
        <v>93</v>
      </c>
      <c r="C85" s="4">
        <v>89.8</v>
      </c>
      <c r="D85" s="4">
        <v>91.4</v>
      </c>
      <c r="E85" s="4">
        <v>90.2</v>
      </c>
      <c r="F85" s="4">
        <v>91.2</v>
      </c>
      <c r="J85">
        <v>92.6</v>
      </c>
    </row>
    <row r="86" spans="1:10">
      <c r="A86" t="s">
        <v>179</v>
      </c>
      <c r="B86" s="4">
        <v>94</v>
      </c>
      <c r="C86" s="4">
        <v>92.6</v>
      </c>
      <c r="D86" s="4">
        <v>91</v>
      </c>
      <c r="E86" s="4">
        <v>89.6</v>
      </c>
      <c r="F86" s="4">
        <v>93.4</v>
      </c>
      <c r="J86">
        <v>93.2</v>
      </c>
    </row>
    <row r="87" spans="1:10">
      <c r="A87" t="s">
        <v>180</v>
      </c>
      <c r="B87" s="4">
        <v>93</v>
      </c>
      <c r="C87" s="4">
        <v>89.4</v>
      </c>
      <c r="D87" s="4">
        <v>91.6</v>
      </c>
      <c r="E87" s="4">
        <v>91.4</v>
      </c>
      <c r="F87" s="4">
        <v>91.8</v>
      </c>
      <c r="J87">
        <v>92.6</v>
      </c>
    </row>
    <row r="88" spans="1:10">
      <c r="A88" t="s">
        <v>181</v>
      </c>
      <c r="B88" s="4">
        <v>93</v>
      </c>
      <c r="C88" s="4">
        <v>87.4</v>
      </c>
      <c r="D88" s="4">
        <v>89.4</v>
      </c>
      <c r="E88" s="4">
        <v>86.6</v>
      </c>
      <c r="F88" s="4">
        <v>87.6</v>
      </c>
      <c r="J88">
        <v>80.4</v>
      </c>
    </row>
    <row r="89" spans="1:10">
      <c r="A89" t="s">
        <v>182</v>
      </c>
      <c r="B89" s="4">
        <v>89.2</v>
      </c>
      <c r="C89" s="4">
        <v>83.4</v>
      </c>
      <c r="D89" s="4">
        <v>89.6</v>
      </c>
      <c r="E89" s="4">
        <v>89.6</v>
      </c>
      <c r="F89" s="4">
        <v>88.6</v>
      </c>
      <c r="J89">
        <v>76.2</v>
      </c>
    </row>
    <row r="90" spans="1:10">
      <c r="A90" t="s">
        <v>183</v>
      </c>
      <c r="B90" s="4">
        <v>90.4</v>
      </c>
      <c r="C90" s="4">
        <v>80.6</v>
      </c>
      <c r="D90" s="4">
        <v>87.2</v>
      </c>
      <c r="E90" s="4">
        <v>77.6</v>
      </c>
      <c r="F90" s="4">
        <v>89</v>
      </c>
      <c r="J90">
        <v>81.6</v>
      </c>
    </row>
    <row r="91" spans="1:10">
      <c r="A91" t="s">
        <v>184</v>
      </c>
      <c r="B91" s="4">
        <v>86.8</v>
      </c>
      <c r="C91" s="4">
        <v>77.8</v>
      </c>
      <c r="D91" s="4">
        <v>87.2</v>
      </c>
      <c r="E91" s="4">
        <v>73.6</v>
      </c>
      <c r="F91" s="4">
        <v>89</v>
      </c>
      <c r="J91">
        <v>76.6</v>
      </c>
    </row>
    <row r="92" spans="1:10">
      <c r="A92" t="s">
        <v>185</v>
      </c>
      <c r="B92" s="4">
        <v>93.6</v>
      </c>
      <c r="C92" s="4">
        <v>91.2</v>
      </c>
      <c r="D92" s="4">
        <v>92.2</v>
      </c>
      <c r="E92" s="4">
        <v>91.8</v>
      </c>
      <c r="F92" s="4">
        <v>93.4</v>
      </c>
      <c r="J92">
        <v>92.6</v>
      </c>
    </row>
    <row r="93" spans="1:10">
      <c r="A93" t="s">
        <v>186</v>
      </c>
      <c r="B93" s="4">
        <v>94</v>
      </c>
      <c r="C93" s="4">
        <v>94</v>
      </c>
      <c r="D93" s="4">
        <v>94</v>
      </c>
      <c r="E93" s="4">
        <v>94.6</v>
      </c>
      <c r="F93" s="4">
        <v>94.4</v>
      </c>
      <c r="J93">
        <v>95</v>
      </c>
    </row>
    <row r="94" spans="1:10">
      <c r="A94" t="s">
        <v>187</v>
      </c>
      <c r="B94" s="4">
        <v>93</v>
      </c>
      <c r="C94" s="4">
        <v>93</v>
      </c>
      <c r="D94" s="4">
        <v>91.8</v>
      </c>
      <c r="E94" s="4">
        <v>89.5</v>
      </c>
      <c r="F94" s="4">
        <v>90</v>
      </c>
      <c r="J94">
        <v>92.6</v>
      </c>
    </row>
    <row r="95" spans="1:10">
      <c r="A95" t="s">
        <v>188</v>
      </c>
      <c r="B95" s="4">
        <v>92</v>
      </c>
      <c r="C95" s="4">
        <v>90.8</v>
      </c>
      <c r="D95" s="4">
        <v>90</v>
      </c>
      <c r="E95" s="4">
        <v>87.8</v>
      </c>
      <c r="F95" s="4">
        <v>89.4</v>
      </c>
      <c r="J95">
        <v>93.2</v>
      </c>
    </row>
    <row r="96" spans="1:10">
      <c r="A96" t="s">
        <v>189</v>
      </c>
      <c r="B96" s="4">
        <v>37.4</v>
      </c>
      <c r="C96" s="4">
        <v>22.6</v>
      </c>
      <c r="D96" s="4">
        <v>36.2</v>
      </c>
      <c r="E96" s="4">
        <v>36</v>
      </c>
      <c r="F96" s="4">
        <v>33.6</v>
      </c>
      <c r="J96">
        <v>47.2</v>
      </c>
    </row>
    <row r="97" spans="1:10">
      <c r="A97" t="s">
        <v>190</v>
      </c>
      <c r="B97" s="4">
        <v>95</v>
      </c>
      <c r="C97" s="4">
        <v>97</v>
      </c>
      <c r="D97" s="4">
        <v>94.2</v>
      </c>
      <c r="E97" s="4">
        <v>97.4</v>
      </c>
      <c r="F97" s="4">
        <v>95</v>
      </c>
      <c r="J97">
        <v>91.6</v>
      </c>
    </row>
    <row r="98" spans="1:10">
      <c r="A98" t="s">
        <v>191</v>
      </c>
      <c r="B98" s="4">
        <v>64.6</v>
      </c>
      <c r="C98" s="4">
        <v>33.8</v>
      </c>
      <c r="D98" s="4">
        <v>51.2</v>
      </c>
      <c r="E98" s="4">
        <v>71.2</v>
      </c>
      <c r="F98" s="4">
        <v>48.6</v>
      </c>
      <c r="J98">
        <v>67.2</v>
      </c>
    </row>
    <row r="99" spans="1:10">
      <c r="A99" t="s">
        <v>192</v>
      </c>
      <c r="B99" s="4">
        <v>93</v>
      </c>
      <c r="C99" s="4">
        <v>90.8</v>
      </c>
      <c r="D99" s="4">
        <v>89.6</v>
      </c>
      <c r="E99" s="4">
        <v>87.8</v>
      </c>
      <c r="F99" s="4">
        <v>87.8</v>
      </c>
      <c r="J99">
        <v>92.6</v>
      </c>
    </row>
    <row r="100" spans="1:10">
      <c r="A100" t="s">
        <v>193</v>
      </c>
      <c r="B100" s="4">
        <v>53.6</v>
      </c>
      <c r="C100" s="4">
        <v>35.8</v>
      </c>
      <c r="D100" s="4">
        <v>37.8</v>
      </c>
      <c r="E100" s="4">
        <v>37</v>
      </c>
      <c r="F100" s="4">
        <v>36</v>
      </c>
      <c r="J100">
        <v>81.6</v>
      </c>
    </row>
    <row r="101" spans="1:10">
      <c r="A101" t="s">
        <v>194</v>
      </c>
      <c r="B101" s="4">
        <v>87.6</v>
      </c>
      <c r="C101" s="4">
        <v>81.6</v>
      </c>
      <c r="D101" s="4">
        <v>78.6</v>
      </c>
      <c r="E101" s="4">
        <v>74.6</v>
      </c>
      <c r="F101" s="4">
        <v>87.8</v>
      </c>
      <c r="J101">
        <v>90</v>
      </c>
    </row>
    <row r="102" spans="1:10">
      <c r="A102" t="s">
        <v>195</v>
      </c>
      <c r="B102" s="4">
        <v>94</v>
      </c>
      <c r="C102" s="4">
        <v>93.4</v>
      </c>
      <c r="D102" s="4">
        <v>91.2</v>
      </c>
      <c r="E102" s="4">
        <v>91.2</v>
      </c>
      <c r="F102" s="4">
        <v>89.8</v>
      </c>
      <c r="J102">
        <v>93.2</v>
      </c>
    </row>
    <row r="103" spans="1:10">
      <c r="A103" t="s">
        <v>196</v>
      </c>
      <c r="B103" s="4">
        <v>93</v>
      </c>
      <c r="C103" s="4">
        <v>93.4</v>
      </c>
      <c r="D103" s="4">
        <v>91.4</v>
      </c>
      <c r="E103" s="4">
        <v>89.4</v>
      </c>
      <c r="F103" s="4">
        <v>89.8</v>
      </c>
      <c r="J103">
        <v>93.2</v>
      </c>
    </row>
    <row r="104" spans="1:10">
      <c r="A104" t="s">
        <v>197</v>
      </c>
      <c r="B104" s="4">
        <v>93</v>
      </c>
      <c r="C104" s="4">
        <v>87.4</v>
      </c>
      <c r="D104" s="4">
        <v>90</v>
      </c>
      <c r="E104" s="4">
        <v>85.4</v>
      </c>
      <c r="F104" s="4">
        <v>87.8</v>
      </c>
      <c r="J104">
        <v>94</v>
      </c>
    </row>
    <row r="105" spans="1:10">
      <c r="A105" t="s">
        <v>198</v>
      </c>
      <c r="B105" s="4">
        <v>93</v>
      </c>
      <c r="C105" s="4">
        <v>93</v>
      </c>
      <c r="D105" s="4">
        <v>91.2</v>
      </c>
      <c r="E105" s="4">
        <v>91.2</v>
      </c>
      <c r="F105" s="4">
        <v>89.8</v>
      </c>
      <c r="J105">
        <v>92.6</v>
      </c>
    </row>
    <row r="106" spans="1:10">
      <c r="A106" t="s">
        <v>199</v>
      </c>
      <c r="B106" s="4">
        <v>93</v>
      </c>
      <c r="C106" s="4">
        <v>90.8</v>
      </c>
      <c r="D106" s="4">
        <v>90.2</v>
      </c>
      <c r="E106" s="4">
        <v>85.4</v>
      </c>
      <c r="F106" s="4">
        <v>89.8</v>
      </c>
      <c r="J106">
        <v>92.6</v>
      </c>
    </row>
    <row r="107" spans="1:10">
      <c r="A107" t="s">
        <v>200</v>
      </c>
      <c r="B107" s="4">
        <v>93</v>
      </c>
      <c r="C107" s="4">
        <v>91.2</v>
      </c>
      <c r="D107" s="4">
        <v>91</v>
      </c>
      <c r="E107" s="4">
        <v>89.4</v>
      </c>
      <c r="F107" s="4">
        <v>89.8</v>
      </c>
      <c r="J107">
        <v>92.6</v>
      </c>
    </row>
    <row r="108" spans="1:10">
      <c r="A108" t="s">
        <v>201</v>
      </c>
      <c r="B108" s="4">
        <v>91</v>
      </c>
      <c r="C108" s="4">
        <v>84.2</v>
      </c>
      <c r="D108" s="4">
        <v>89.2</v>
      </c>
      <c r="E108" s="4">
        <v>83</v>
      </c>
      <c r="F108" s="4">
        <v>82</v>
      </c>
      <c r="J108">
        <v>87.6</v>
      </c>
    </row>
    <row r="109" spans="1:10">
      <c r="A109" t="s">
        <v>202</v>
      </c>
      <c r="B109" s="4">
        <v>94</v>
      </c>
      <c r="C109" s="4">
        <v>90.8</v>
      </c>
      <c r="D109" s="4">
        <v>91.4</v>
      </c>
      <c r="E109" s="4">
        <v>91.8</v>
      </c>
      <c r="F109" s="4">
        <v>90</v>
      </c>
      <c r="J109">
        <v>93.2</v>
      </c>
    </row>
    <row r="110" spans="1:10">
      <c r="A110" t="s">
        <v>203</v>
      </c>
      <c r="B110" s="4">
        <v>92</v>
      </c>
      <c r="C110" s="4">
        <v>85.2</v>
      </c>
      <c r="D110" s="4">
        <v>89.2</v>
      </c>
      <c r="E110" s="4">
        <v>83.8</v>
      </c>
      <c r="F110" s="4">
        <v>87.8</v>
      </c>
      <c r="J110">
        <v>90</v>
      </c>
    </row>
    <row r="111" spans="1:10">
      <c r="A111" s="5" t="s">
        <v>204</v>
      </c>
      <c r="B111" s="6">
        <v>91.6</v>
      </c>
      <c r="C111" s="6">
        <v>86.8</v>
      </c>
      <c r="D111" s="6">
        <v>92</v>
      </c>
      <c r="E111" s="6">
        <v>88.2</v>
      </c>
      <c r="F111" s="6">
        <v>92.6</v>
      </c>
      <c r="J111" s="6">
        <v>79.4</v>
      </c>
    </row>
    <row r="112" spans="1:10">
      <c r="A112" s="5" t="s">
        <v>205</v>
      </c>
      <c r="B112" s="6">
        <v>85.2</v>
      </c>
      <c r="C112" s="6">
        <v>86.2</v>
      </c>
      <c r="D112" s="6">
        <v>88.6</v>
      </c>
      <c r="E112" s="6">
        <v>81.8</v>
      </c>
      <c r="F112" s="6">
        <v>88.6</v>
      </c>
      <c r="J112" s="6">
        <v>63.6</v>
      </c>
    </row>
    <row r="113" spans="1:10">
      <c r="A113" s="5" t="s">
        <v>206</v>
      </c>
      <c r="B113" s="6">
        <v>46</v>
      </c>
      <c r="C113" s="6">
        <v>41</v>
      </c>
      <c r="D113" s="6">
        <v>51.4</v>
      </c>
      <c r="E113" s="6">
        <v>50.2</v>
      </c>
      <c r="F113" s="6">
        <v>50.6</v>
      </c>
      <c r="J113" s="6">
        <v>45.2</v>
      </c>
    </row>
    <row r="114" spans="1:10">
      <c r="A114" s="5" t="s">
        <v>207</v>
      </c>
      <c r="B114" s="6">
        <v>91.6</v>
      </c>
      <c r="C114" s="6">
        <v>89.8</v>
      </c>
      <c r="D114" s="6">
        <v>93</v>
      </c>
      <c r="E114" s="6">
        <v>90.6</v>
      </c>
      <c r="F114" s="6">
        <v>93.4</v>
      </c>
      <c r="J114" s="6">
        <v>82.2</v>
      </c>
    </row>
    <row r="115" spans="1:10">
      <c r="A115" s="5" t="s">
        <v>208</v>
      </c>
      <c r="B115" s="6">
        <v>84.8</v>
      </c>
      <c r="C115" s="6">
        <v>86.2</v>
      </c>
      <c r="D115" s="6">
        <v>88.6</v>
      </c>
      <c r="E115" s="6">
        <v>80.2</v>
      </c>
      <c r="F115" s="6">
        <v>88.6</v>
      </c>
      <c r="J115" s="6">
        <v>72.2</v>
      </c>
    </row>
    <row r="116" spans="1:10">
      <c r="A116" s="5" t="s">
        <v>209</v>
      </c>
      <c r="B116" s="6">
        <v>88.8</v>
      </c>
      <c r="C116" s="6">
        <v>89</v>
      </c>
      <c r="D116" s="6">
        <v>92.4</v>
      </c>
      <c r="E116" s="6">
        <v>87.4</v>
      </c>
      <c r="F116" s="6">
        <v>93.2</v>
      </c>
      <c r="J116" s="6">
        <v>74.2</v>
      </c>
    </row>
    <row r="117" spans="1:10">
      <c r="A117" s="5" t="s">
        <v>210</v>
      </c>
      <c r="B117" s="6">
        <v>88.8</v>
      </c>
      <c r="C117" s="6">
        <v>89</v>
      </c>
      <c r="D117" s="6">
        <v>92.4</v>
      </c>
      <c r="E117" s="6">
        <v>87.4</v>
      </c>
      <c r="F117" s="6">
        <v>93.2</v>
      </c>
      <c r="J117" s="6">
        <v>74.2</v>
      </c>
    </row>
    <row r="118" spans="1:10">
      <c r="A118" s="5" t="s">
        <v>211</v>
      </c>
      <c r="B118" s="6">
        <v>91.6</v>
      </c>
      <c r="C118" s="6">
        <v>89.8</v>
      </c>
      <c r="D118" s="6">
        <v>93</v>
      </c>
      <c r="E118" s="6">
        <v>90.2</v>
      </c>
      <c r="F118" s="6">
        <v>93.4</v>
      </c>
      <c r="J118" s="6">
        <v>83.4</v>
      </c>
    </row>
    <row r="119" spans="1:10">
      <c r="A119" s="5" t="s">
        <v>212</v>
      </c>
      <c r="B119" s="6">
        <v>93.4</v>
      </c>
      <c r="C119" s="6">
        <v>90.4</v>
      </c>
      <c r="D119" s="6">
        <v>94.4</v>
      </c>
      <c r="E119" s="6">
        <v>92.8</v>
      </c>
      <c r="F119" s="6">
        <v>95.8</v>
      </c>
      <c r="J119" s="6">
        <v>78.2</v>
      </c>
    </row>
    <row r="120" spans="1:10">
      <c r="A120" s="5" t="s">
        <v>213</v>
      </c>
      <c r="B120" s="6">
        <v>21</v>
      </c>
      <c r="C120" s="6">
        <v>24.4</v>
      </c>
      <c r="D120" s="6">
        <v>32.6</v>
      </c>
      <c r="E120" s="6">
        <v>21.8</v>
      </c>
      <c r="F120" s="6">
        <v>28.4</v>
      </c>
      <c r="J120" s="6">
        <v>18.8</v>
      </c>
    </row>
    <row r="121" spans="1:10">
      <c r="A121" s="5" t="s">
        <v>214</v>
      </c>
      <c r="B121" s="6">
        <v>84.8</v>
      </c>
      <c r="C121" s="6">
        <v>86.2</v>
      </c>
      <c r="D121" s="6">
        <v>88.6</v>
      </c>
      <c r="E121" s="6">
        <v>80.6</v>
      </c>
      <c r="F121" s="6">
        <v>88.6</v>
      </c>
      <c r="J121" s="6">
        <v>72.2</v>
      </c>
    </row>
    <row r="122" spans="1:10">
      <c r="A122" s="5" t="s">
        <v>215</v>
      </c>
      <c r="B122" s="6">
        <v>92</v>
      </c>
      <c r="C122" s="6">
        <v>92</v>
      </c>
      <c r="D122" s="6">
        <v>90</v>
      </c>
      <c r="E122" s="6">
        <v>93.2</v>
      </c>
      <c r="F122" s="6">
        <v>94</v>
      </c>
      <c r="J122" s="6">
        <v>88</v>
      </c>
    </row>
    <row r="123" spans="1:10">
      <c r="A123" s="5" t="s">
        <v>216</v>
      </c>
      <c r="B123" s="6">
        <v>88.8</v>
      </c>
      <c r="C123" s="6">
        <v>88.6</v>
      </c>
      <c r="D123" s="6">
        <v>91.4</v>
      </c>
      <c r="E123" s="6">
        <v>84.8</v>
      </c>
      <c r="F123" s="6">
        <v>92</v>
      </c>
      <c r="J123" s="6">
        <v>85.8</v>
      </c>
    </row>
    <row r="124" spans="1:10">
      <c r="A124" s="5" t="s">
        <v>217</v>
      </c>
      <c r="B124" s="6">
        <v>89</v>
      </c>
      <c r="C124" s="6">
        <v>84.8</v>
      </c>
      <c r="D124" s="6">
        <v>88.6</v>
      </c>
      <c r="E124" s="6">
        <v>83.8</v>
      </c>
      <c r="F124" s="6">
        <v>90</v>
      </c>
      <c r="J124" s="6">
        <v>67.4</v>
      </c>
    </row>
    <row r="125" spans="1:10">
      <c r="A125" s="5" t="s">
        <v>218</v>
      </c>
      <c r="B125" s="6">
        <v>79</v>
      </c>
      <c r="C125" s="6">
        <v>76.2</v>
      </c>
      <c r="D125" s="6">
        <v>81.4</v>
      </c>
      <c r="E125" s="6">
        <v>77.8</v>
      </c>
      <c r="F125" s="6">
        <v>88.2</v>
      </c>
      <c r="J125" s="6">
        <v>69.2</v>
      </c>
    </row>
    <row r="126" spans="1:10">
      <c r="A126" s="5" t="s">
        <v>219</v>
      </c>
      <c r="B126" s="6">
        <v>79.6</v>
      </c>
      <c r="C126" s="6">
        <v>78.4</v>
      </c>
      <c r="D126" s="6">
        <v>81.5</v>
      </c>
      <c r="E126" s="6">
        <v>84.4</v>
      </c>
      <c r="F126" s="6">
        <v>90.6</v>
      </c>
      <c r="J126" s="6">
        <v>67.4</v>
      </c>
    </row>
    <row r="127" spans="1:10">
      <c r="A127" s="5" t="s">
        <v>220</v>
      </c>
      <c r="B127" s="6">
        <v>52.6</v>
      </c>
      <c r="C127" s="6">
        <v>46.6</v>
      </c>
      <c r="D127" s="6">
        <v>61.4</v>
      </c>
      <c r="E127" s="6">
        <v>56</v>
      </c>
      <c r="F127" s="6">
        <v>52.8</v>
      </c>
      <c r="J127" s="6">
        <v>45.2</v>
      </c>
    </row>
    <row r="128" spans="1:10">
      <c r="A128" s="5" t="s">
        <v>221</v>
      </c>
      <c r="B128" s="6">
        <v>85.2</v>
      </c>
      <c r="C128" s="6">
        <v>86.2</v>
      </c>
      <c r="D128" s="6">
        <v>88.6</v>
      </c>
      <c r="E128" s="6">
        <v>79.8</v>
      </c>
      <c r="F128" s="6">
        <v>88.2</v>
      </c>
      <c r="J128" s="6">
        <v>69.2</v>
      </c>
    </row>
    <row r="129" spans="1:10">
      <c r="A129" s="5" t="s">
        <v>222</v>
      </c>
      <c r="B129" s="6">
        <v>86.8</v>
      </c>
      <c r="C129" s="6">
        <v>87.6</v>
      </c>
      <c r="D129" s="6">
        <v>89.2</v>
      </c>
      <c r="E129" s="6">
        <v>85.8</v>
      </c>
      <c r="F129" s="6">
        <v>90.8</v>
      </c>
      <c r="J129" s="6">
        <v>74.2</v>
      </c>
    </row>
    <row r="130" spans="1:10">
      <c r="A130" s="5" t="s">
        <v>223</v>
      </c>
      <c r="B130" s="6">
        <v>81</v>
      </c>
      <c r="C130" s="6">
        <v>85.8</v>
      </c>
      <c r="D130" s="6">
        <v>73.2</v>
      </c>
      <c r="E130" s="6">
        <v>73.2</v>
      </c>
      <c r="F130" s="6">
        <v>86.6</v>
      </c>
      <c r="J130" s="6">
        <v>81.2</v>
      </c>
    </row>
    <row r="131" spans="1:10">
      <c r="A131" s="5" t="s">
        <v>224</v>
      </c>
      <c r="B131" s="6">
        <v>88.4</v>
      </c>
      <c r="C131" s="6">
        <v>88.2</v>
      </c>
      <c r="D131" s="6">
        <v>89.4</v>
      </c>
      <c r="E131" s="6">
        <v>87</v>
      </c>
      <c r="F131" s="6">
        <v>93</v>
      </c>
      <c r="J131" s="6">
        <v>80.6</v>
      </c>
    </row>
    <row r="132" spans="1:10">
      <c r="A132" s="5" t="s">
        <v>225</v>
      </c>
      <c r="B132" s="6">
        <v>45.6</v>
      </c>
      <c r="C132" s="6">
        <v>39.8</v>
      </c>
      <c r="D132" s="6">
        <v>43.6</v>
      </c>
      <c r="E132" s="6">
        <v>26.6</v>
      </c>
      <c r="F132" s="6">
        <v>40.2</v>
      </c>
      <c r="J132" s="6">
        <v>40.4</v>
      </c>
    </row>
    <row r="133" spans="1:10">
      <c r="A133" s="5" t="s">
        <v>226</v>
      </c>
      <c r="B133" s="6">
        <v>81.2</v>
      </c>
      <c r="C133" s="6">
        <v>82.8</v>
      </c>
      <c r="D133" s="6">
        <v>74.7</v>
      </c>
      <c r="E133" s="6">
        <v>78</v>
      </c>
      <c r="F133" s="6">
        <v>90.4</v>
      </c>
      <c r="J133" s="6">
        <v>75.4</v>
      </c>
    </row>
    <row r="134" spans="1:10">
      <c r="A134" s="5" t="s">
        <v>227</v>
      </c>
      <c r="B134" s="6">
        <v>86.8</v>
      </c>
      <c r="C134" s="6">
        <v>88.6</v>
      </c>
      <c r="D134" s="6">
        <v>89</v>
      </c>
      <c r="E134" s="6">
        <v>80.6</v>
      </c>
      <c r="F134" s="6">
        <v>90.2</v>
      </c>
      <c r="J134" s="6">
        <v>76.2</v>
      </c>
    </row>
    <row r="135" spans="1:10">
      <c r="A135" s="5" t="s">
        <v>228</v>
      </c>
      <c r="B135" s="6">
        <v>87.6</v>
      </c>
      <c r="C135" s="6">
        <v>85.4</v>
      </c>
      <c r="D135" s="6">
        <v>88.2</v>
      </c>
      <c r="E135" s="6">
        <v>84.6</v>
      </c>
      <c r="F135" s="6">
        <v>90.4</v>
      </c>
      <c r="J135" s="6">
        <v>76.4</v>
      </c>
    </row>
    <row r="136" spans="1:10">
      <c r="A136" s="5" t="s">
        <v>229</v>
      </c>
      <c r="B136" s="6">
        <v>84.2</v>
      </c>
      <c r="C136" s="6">
        <v>81.4</v>
      </c>
      <c r="D136" s="6">
        <v>89</v>
      </c>
      <c r="E136" s="6">
        <v>75.6</v>
      </c>
      <c r="F136" s="6">
        <v>89.4</v>
      </c>
      <c r="J136" s="6">
        <v>69.2</v>
      </c>
    </row>
    <row r="137" spans="1:10">
      <c r="A137" s="5" t="s">
        <v>230</v>
      </c>
      <c r="B137" s="6">
        <v>84.2</v>
      </c>
      <c r="C137" s="6">
        <v>81.4</v>
      </c>
      <c r="D137" s="6">
        <v>88.6</v>
      </c>
      <c r="E137" s="6">
        <v>75.6</v>
      </c>
      <c r="F137" s="6">
        <v>89.4</v>
      </c>
      <c r="J137" s="6">
        <v>57.6</v>
      </c>
    </row>
    <row r="138" spans="1:10">
      <c r="A138" s="5" t="s">
        <v>231</v>
      </c>
      <c r="B138" s="6">
        <v>86.4</v>
      </c>
      <c r="C138" s="6">
        <v>84.2</v>
      </c>
      <c r="D138" s="6">
        <v>87.8</v>
      </c>
      <c r="E138" s="6">
        <v>74</v>
      </c>
      <c r="F138" s="6">
        <v>88.4</v>
      </c>
      <c r="J138" s="6">
        <v>72.4</v>
      </c>
    </row>
    <row r="139" spans="1:10">
      <c r="A139" s="5" t="s">
        <v>232</v>
      </c>
      <c r="B139" s="6">
        <v>81.4</v>
      </c>
      <c r="C139" s="6">
        <v>72.6</v>
      </c>
      <c r="D139" s="6">
        <v>64.2</v>
      </c>
      <c r="E139" s="6">
        <v>67</v>
      </c>
      <c r="F139" s="6">
        <v>82.2</v>
      </c>
      <c r="J139" s="6">
        <v>69.2</v>
      </c>
    </row>
    <row r="140" spans="1:10">
      <c r="A140" s="5" t="s">
        <v>233</v>
      </c>
      <c r="B140" s="6">
        <v>66.4</v>
      </c>
      <c r="C140" s="6">
        <v>53</v>
      </c>
      <c r="D140" s="6">
        <v>68.6</v>
      </c>
      <c r="E140" s="6">
        <v>67.2</v>
      </c>
      <c r="F140" s="6">
        <v>73.6</v>
      </c>
      <c r="J140" s="6">
        <v>49.6</v>
      </c>
    </row>
    <row r="141" spans="1:10">
      <c r="A141" s="5" t="s">
        <v>234</v>
      </c>
      <c r="B141" s="6">
        <v>89.2</v>
      </c>
      <c r="C141" s="6">
        <v>90.6</v>
      </c>
      <c r="D141" s="6">
        <v>90.4</v>
      </c>
      <c r="E141" s="6">
        <v>86.6</v>
      </c>
      <c r="F141" s="6">
        <v>90.8</v>
      </c>
      <c r="J141" s="6">
        <v>81.2</v>
      </c>
    </row>
    <row r="142" spans="1:10">
      <c r="A142" s="5" t="s">
        <v>235</v>
      </c>
      <c r="B142" s="6">
        <v>90.6</v>
      </c>
      <c r="C142" s="6">
        <v>91.4</v>
      </c>
      <c r="D142" s="6">
        <v>91.4</v>
      </c>
      <c r="E142" s="6">
        <v>90.4</v>
      </c>
      <c r="F142" s="6">
        <v>90.6</v>
      </c>
      <c r="J142" s="6">
        <v>81.2</v>
      </c>
    </row>
    <row r="143" spans="1:10">
      <c r="A143" s="5" t="s">
        <v>236</v>
      </c>
      <c r="B143" s="6">
        <v>86.4</v>
      </c>
      <c r="C143" s="6">
        <v>84.2</v>
      </c>
      <c r="D143" s="6">
        <v>87.8</v>
      </c>
      <c r="E143" s="6">
        <v>74</v>
      </c>
      <c r="F143" s="6">
        <v>88.4</v>
      </c>
      <c r="J143" s="6">
        <v>62.4</v>
      </c>
    </row>
    <row r="144" spans="1:10">
      <c r="A144" s="5" t="s">
        <v>237</v>
      </c>
      <c r="B144" s="6">
        <v>66.4</v>
      </c>
      <c r="C144" s="6">
        <v>53</v>
      </c>
      <c r="D144" s="6">
        <v>68.6</v>
      </c>
      <c r="E144" s="6">
        <v>67.2</v>
      </c>
      <c r="F144" s="6">
        <v>73.6</v>
      </c>
      <c r="J144" s="6">
        <v>49.6</v>
      </c>
    </row>
    <row r="145" spans="1:10">
      <c r="A145" s="5" t="s">
        <v>238</v>
      </c>
      <c r="B145" s="6">
        <v>90.6</v>
      </c>
      <c r="C145" s="6">
        <v>91.4</v>
      </c>
      <c r="D145" s="6">
        <v>91.4</v>
      </c>
      <c r="E145" s="6">
        <v>90.4</v>
      </c>
      <c r="F145" s="6">
        <v>90.6</v>
      </c>
      <c r="J145" s="6">
        <v>81.2</v>
      </c>
    </row>
    <row r="146" spans="1:10">
      <c r="A146" s="5" t="s">
        <v>239</v>
      </c>
      <c r="B146" s="6">
        <v>79</v>
      </c>
      <c r="C146" s="6">
        <v>81.4</v>
      </c>
      <c r="D146" s="6">
        <v>76.2</v>
      </c>
      <c r="E146" s="6">
        <v>73</v>
      </c>
      <c r="F146" s="6">
        <v>85.2</v>
      </c>
      <c r="J146" s="6">
        <v>69.2</v>
      </c>
    </row>
    <row r="147" spans="1:10">
      <c r="A147" t="s">
        <v>240</v>
      </c>
      <c r="B147" s="4">
        <v>88.6</v>
      </c>
      <c r="C147" s="4">
        <v>91.4</v>
      </c>
      <c r="D147" s="4">
        <v>91.4</v>
      </c>
      <c r="E147" s="4">
        <v>84.6</v>
      </c>
      <c r="F147" s="4">
        <v>86.2</v>
      </c>
      <c r="J147" s="4">
        <v>80.6</v>
      </c>
    </row>
    <row r="148" spans="1:10">
      <c r="A148" t="s">
        <v>241</v>
      </c>
      <c r="B148" s="4">
        <v>86</v>
      </c>
      <c r="C148" s="4">
        <v>88.4</v>
      </c>
      <c r="D148" s="4">
        <v>88.6</v>
      </c>
      <c r="E148" s="4">
        <v>79.4</v>
      </c>
      <c r="F148" s="4">
        <v>86</v>
      </c>
      <c r="J148" s="4">
        <v>82.2</v>
      </c>
    </row>
    <row r="149" spans="1:10">
      <c r="A149" t="s">
        <v>242</v>
      </c>
      <c r="B149" s="4">
        <v>75.4</v>
      </c>
      <c r="C149" s="4">
        <v>78.6</v>
      </c>
      <c r="D149" s="4">
        <v>82.4</v>
      </c>
      <c r="E149" s="4">
        <v>67</v>
      </c>
      <c r="F149" s="4">
        <v>81.4</v>
      </c>
      <c r="J149" s="4">
        <v>72</v>
      </c>
    </row>
    <row r="150" spans="1:10">
      <c r="A150" t="s">
        <v>243</v>
      </c>
      <c r="B150" s="4">
        <v>88.4</v>
      </c>
      <c r="C150" s="4">
        <v>88.4</v>
      </c>
      <c r="D150" s="4">
        <v>90.2</v>
      </c>
      <c r="E150" s="4">
        <v>82.2</v>
      </c>
      <c r="F150" s="4">
        <v>87.2</v>
      </c>
      <c r="J150" s="4">
        <v>82.4</v>
      </c>
    </row>
    <row r="151" spans="1:10">
      <c r="A151" t="s">
        <v>244</v>
      </c>
      <c r="B151" s="4">
        <v>76.8</v>
      </c>
      <c r="C151" s="4">
        <v>80.6</v>
      </c>
      <c r="D151" s="4">
        <v>83.4</v>
      </c>
      <c r="E151" s="4">
        <v>71.8</v>
      </c>
      <c r="F151" s="4">
        <v>81.4</v>
      </c>
      <c r="J151" s="4">
        <v>81.6</v>
      </c>
    </row>
    <row r="152" spans="1:10">
      <c r="A152" t="s">
        <v>245</v>
      </c>
      <c r="B152" s="4">
        <v>90.6</v>
      </c>
      <c r="C152" s="4">
        <v>94.6</v>
      </c>
      <c r="D152" s="4">
        <v>94.2</v>
      </c>
      <c r="E152" s="4">
        <v>90.6</v>
      </c>
      <c r="F152" s="4">
        <v>89.4</v>
      </c>
      <c r="J152" s="4">
        <v>86</v>
      </c>
    </row>
    <row r="153" spans="1:10">
      <c r="A153" t="s">
        <v>246</v>
      </c>
      <c r="B153" s="4">
        <v>76.8</v>
      </c>
      <c r="C153" s="4">
        <v>80.6</v>
      </c>
      <c r="D153" s="4">
        <v>83</v>
      </c>
      <c r="E153" s="4">
        <v>71.8</v>
      </c>
      <c r="F153" s="4">
        <v>81.4</v>
      </c>
      <c r="J153" s="4">
        <v>81.6</v>
      </c>
    </row>
    <row r="154" spans="1:10">
      <c r="A154" t="s">
        <v>247</v>
      </c>
      <c r="B154" s="4">
        <v>84.2</v>
      </c>
      <c r="C154" s="4">
        <v>86</v>
      </c>
      <c r="D154" s="4">
        <v>85.2</v>
      </c>
      <c r="E154" s="4">
        <v>71.6</v>
      </c>
      <c r="F154" s="4">
        <v>83</v>
      </c>
      <c r="J154" s="4">
        <v>81.2</v>
      </c>
    </row>
    <row r="155" spans="1:10">
      <c r="A155" t="s">
        <v>248</v>
      </c>
      <c r="B155" s="4">
        <v>89</v>
      </c>
      <c r="C155" s="4">
        <v>96.8</v>
      </c>
      <c r="D155" s="4">
        <v>93.4</v>
      </c>
      <c r="E155" s="4">
        <v>90</v>
      </c>
      <c r="F155" s="4">
        <v>91.6</v>
      </c>
      <c r="J155" s="4">
        <v>81.8</v>
      </c>
    </row>
    <row r="156" spans="1:10">
      <c r="A156" t="s">
        <v>249</v>
      </c>
      <c r="B156" s="4">
        <v>88.2</v>
      </c>
      <c r="C156" s="4">
        <v>85.8</v>
      </c>
      <c r="D156" s="4">
        <v>89</v>
      </c>
      <c r="E156" s="4">
        <v>82.8</v>
      </c>
      <c r="F156" s="4">
        <v>86.2</v>
      </c>
      <c r="J156" s="4">
        <v>83</v>
      </c>
    </row>
    <row r="157" spans="1:10">
      <c r="A157" t="s">
        <v>250</v>
      </c>
      <c r="B157" s="4">
        <v>89</v>
      </c>
      <c r="C157" s="4">
        <v>80.6</v>
      </c>
      <c r="D157" s="4">
        <v>90.2</v>
      </c>
      <c r="E157" s="4">
        <v>86.6</v>
      </c>
      <c r="F157" s="4">
        <v>87.2</v>
      </c>
      <c r="J157" s="4">
        <v>86</v>
      </c>
    </row>
    <row r="158" spans="1:10">
      <c r="A158" t="s">
        <v>251</v>
      </c>
      <c r="B158" s="4">
        <v>76.8</v>
      </c>
      <c r="C158" s="4">
        <v>90.2</v>
      </c>
      <c r="D158" s="4">
        <v>83.4</v>
      </c>
      <c r="E158" s="4">
        <v>70.6</v>
      </c>
      <c r="F158" s="4">
        <v>81.4</v>
      </c>
      <c r="J158" s="4">
        <v>81.6</v>
      </c>
    </row>
    <row r="159" spans="1:10">
      <c r="A159" t="s">
        <v>252</v>
      </c>
      <c r="B159" s="4">
        <v>88.2</v>
      </c>
      <c r="C159" s="4">
        <v>89.4</v>
      </c>
      <c r="D159" s="4">
        <v>89.4</v>
      </c>
      <c r="E159" s="4">
        <v>83.4</v>
      </c>
      <c r="F159" s="4">
        <v>86</v>
      </c>
      <c r="J159" s="4">
        <v>81.6</v>
      </c>
    </row>
    <row r="160" spans="1:10">
      <c r="A160" t="s">
        <v>253</v>
      </c>
      <c r="B160" s="4">
        <v>89.8</v>
      </c>
      <c r="C160" s="4">
        <v>87</v>
      </c>
      <c r="D160" s="4">
        <v>92.2</v>
      </c>
      <c r="E160" s="4">
        <v>89.8</v>
      </c>
      <c r="F160" s="4">
        <v>88.2</v>
      </c>
      <c r="J160" s="4">
        <v>86</v>
      </c>
    </row>
    <row r="161" spans="1:10">
      <c r="A161" t="s">
        <v>254</v>
      </c>
      <c r="B161" s="4">
        <v>88</v>
      </c>
      <c r="C161" s="4">
        <v>81.2</v>
      </c>
      <c r="D161" s="4">
        <v>91</v>
      </c>
      <c r="E161" s="4">
        <v>88.8</v>
      </c>
      <c r="F161" s="4">
        <v>91.2</v>
      </c>
      <c r="J161" s="4">
        <v>81.8</v>
      </c>
    </row>
    <row r="162" spans="1:10">
      <c r="A162" t="s">
        <v>255</v>
      </c>
      <c r="B162" s="4">
        <v>86.4</v>
      </c>
      <c r="C162" s="4">
        <v>85.6</v>
      </c>
      <c r="D162" s="4">
        <v>89</v>
      </c>
      <c r="E162" s="4">
        <v>82.8</v>
      </c>
      <c r="F162" s="4">
        <v>84.2</v>
      </c>
      <c r="J162" s="4">
        <v>82.2</v>
      </c>
    </row>
    <row r="163" spans="1:10">
      <c r="A163" t="s">
        <v>256</v>
      </c>
      <c r="B163" s="4">
        <v>84.8</v>
      </c>
      <c r="C163" s="4">
        <v>81.2</v>
      </c>
      <c r="D163" s="4">
        <v>85.4</v>
      </c>
      <c r="E163" s="4">
        <v>71.6</v>
      </c>
      <c r="F163" s="4">
        <v>82.6</v>
      </c>
      <c r="J163" s="4">
        <v>61</v>
      </c>
    </row>
    <row r="164" spans="1:10">
      <c r="A164" t="s">
        <v>257</v>
      </c>
      <c r="B164" s="4">
        <v>84.2</v>
      </c>
      <c r="C164" s="4">
        <v>85.6</v>
      </c>
      <c r="D164" s="4">
        <v>83.4</v>
      </c>
      <c r="E164" s="4">
        <v>83.4</v>
      </c>
      <c r="F164" s="4">
        <v>82.4</v>
      </c>
      <c r="J164" s="4">
        <v>80.6</v>
      </c>
    </row>
    <row r="165" spans="1:10">
      <c r="A165" t="s">
        <v>258</v>
      </c>
      <c r="B165" s="4">
        <v>94.4</v>
      </c>
      <c r="C165" s="4">
        <v>94</v>
      </c>
      <c r="D165" s="4">
        <v>94.6</v>
      </c>
      <c r="E165" s="4">
        <v>94</v>
      </c>
      <c r="F165" s="4">
        <v>92.2</v>
      </c>
      <c r="J165" s="4">
        <v>93.2</v>
      </c>
    </row>
    <row r="166" spans="1:10">
      <c r="A166" t="s">
        <v>259</v>
      </c>
      <c r="B166" s="4">
        <v>83.8</v>
      </c>
      <c r="C166" s="4">
        <v>83.2</v>
      </c>
      <c r="D166" s="4">
        <v>89.2</v>
      </c>
      <c r="E166" s="4">
        <v>80.4</v>
      </c>
      <c r="F166" s="4">
        <v>83.6</v>
      </c>
      <c r="J166" s="4">
        <v>81.2</v>
      </c>
    </row>
    <row r="167" spans="1:10">
      <c r="A167" t="s">
        <v>260</v>
      </c>
      <c r="B167" s="4">
        <v>85.6</v>
      </c>
      <c r="C167" s="4">
        <v>85.8</v>
      </c>
      <c r="D167" s="4">
        <v>89.2</v>
      </c>
      <c r="E167" s="4">
        <v>80.4</v>
      </c>
      <c r="F167" s="4">
        <v>90.2</v>
      </c>
      <c r="J167" s="4">
        <v>81.6</v>
      </c>
    </row>
    <row r="168" spans="1:10">
      <c r="A168" t="s">
        <v>261</v>
      </c>
      <c r="B168" s="4">
        <v>29.6</v>
      </c>
      <c r="C168" s="4">
        <v>25</v>
      </c>
      <c r="D168" s="4">
        <v>26.2</v>
      </c>
      <c r="E168" s="4">
        <v>22.6</v>
      </c>
      <c r="F168" s="4">
        <v>33.8</v>
      </c>
      <c r="J168" s="4">
        <v>43.6</v>
      </c>
    </row>
    <row r="169" spans="1:10">
      <c r="A169" t="s">
        <v>262</v>
      </c>
      <c r="B169" s="4">
        <v>85.2</v>
      </c>
      <c r="C169" s="4">
        <v>85.4</v>
      </c>
      <c r="D169" s="4">
        <v>89.2</v>
      </c>
      <c r="E169" s="4">
        <v>83.4</v>
      </c>
      <c r="F169" s="4">
        <v>90.2</v>
      </c>
      <c r="J169" s="4">
        <v>80.6</v>
      </c>
    </row>
    <row r="170" spans="1:10">
      <c r="A170" t="s">
        <v>263</v>
      </c>
      <c r="B170" s="4">
        <v>85</v>
      </c>
      <c r="C170" s="4">
        <v>85</v>
      </c>
      <c r="D170" s="4">
        <v>85</v>
      </c>
      <c r="E170" s="4">
        <v>79.8</v>
      </c>
      <c r="F170" s="4">
        <v>82</v>
      </c>
      <c r="J170" s="4">
        <v>81.6</v>
      </c>
    </row>
    <row r="171" spans="1:10">
      <c r="A171" t="s">
        <v>264</v>
      </c>
      <c r="B171" s="4">
        <v>85.2</v>
      </c>
      <c r="C171" s="4">
        <v>85.8</v>
      </c>
      <c r="D171" s="4">
        <v>89.2</v>
      </c>
      <c r="E171" s="4">
        <v>85.6</v>
      </c>
      <c r="F171" s="4">
        <v>89.6</v>
      </c>
      <c r="J171" s="4">
        <v>83</v>
      </c>
    </row>
    <row r="172" spans="1:10">
      <c r="A172" t="s">
        <v>265</v>
      </c>
      <c r="B172" s="4">
        <v>84.6</v>
      </c>
      <c r="C172" s="4">
        <v>84.4</v>
      </c>
      <c r="D172" s="4">
        <v>87.8</v>
      </c>
      <c r="E172" s="4">
        <v>80.6</v>
      </c>
      <c r="F172" s="4">
        <v>89.6</v>
      </c>
      <c r="J172" s="4">
        <v>81.2</v>
      </c>
    </row>
    <row r="173" spans="1:10">
      <c r="A173" t="s">
        <v>266</v>
      </c>
      <c r="B173" s="4">
        <v>93</v>
      </c>
      <c r="C173" s="4">
        <v>94</v>
      </c>
      <c r="D173" s="4">
        <v>93.4</v>
      </c>
      <c r="E173" s="4">
        <v>90.8</v>
      </c>
      <c r="F173" s="4">
        <v>91.8</v>
      </c>
      <c r="J173" s="4">
        <v>81.8</v>
      </c>
    </row>
    <row r="174" spans="1:10">
      <c r="A174" t="s">
        <v>267</v>
      </c>
      <c r="B174" s="4">
        <v>59.2</v>
      </c>
      <c r="C174" s="4">
        <v>52.2</v>
      </c>
      <c r="D174" s="4">
        <v>65.4</v>
      </c>
      <c r="E174" s="4">
        <v>44.2</v>
      </c>
      <c r="F174" s="4">
        <v>80.4</v>
      </c>
      <c r="J174" s="4">
        <v>83</v>
      </c>
    </row>
    <row r="175" spans="1:10">
      <c r="A175" t="s">
        <v>268</v>
      </c>
      <c r="B175" s="4">
        <v>85.6</v>
      </c>
      <c r="C175" s="4">
        <v>85.8</v>
      </c>
      <c r="D175" s="4">
        <v>87.4</v>
      </c>
      <c r="E175" s="4">
        <v>83.8</v>
      </c>
      <c r="F175" s="4">
        <v>90.2</v>
      </c>
      <c r="J175" s="4">
        <v>69</v>
      </c>
    </row>
    <row r="176" spans="1:10">
      <c r="A176" t="s">
        <v>269</v>
      </c>
      <c r="B176" s="4">
        <v>86.6</v>
      </c>
      <c r="C176" s="4">
        <v>88.2</v>
      </c>
      <c r="D176" s="4">
        <v>91</v>
      </c>
      <c r="E176" s="4">
        <v>88.4</v>
      </c>
      <c r="F176" s="4">
        <v>92.2</v>
      </c>
      <c r="J176" s="4">
        <v>86</v>
      </c>
    </row>
    <row r="177" spans="1:10">
      <c r="A177" t="s">
        <v>270</v>
      </c>
      <c r="B177" s="4">
        <v>85</v>
      </c>
      <c r="C177" s="4">
        <v>85</v>
      </c>
      <c r="D177" s="4">
        <v>85</v>
      </c>
      <c r="E177" s="4">
        <v>79.8</v>
      </c>
      <c r="F177" s="4">
        <v>82</v>
      </c>
      <c r="J177" s="4">
        <v>82.2</v>
      </c>
    </row>
    <row r="178" spans="1:10">
      <c r="A178" t="s">
        <v>271</v>
      </c>
      <c r="B178" s="4">
        <v>85.6</v>
      </c>
      <c r="C178" s="4">
        <v>89.4</v>
      </c>
      <c r="D178" s="4">
        <v>89.2</v>
      </c>
      <c r="E178" s="4">
        <v>84.8</v>
      </c>
      <c r="F178" s="4">
        <v>90.2</v>
      </c>
      <c r="J178" s="4">
        <v>82.4</v>
      </c>
    </row>
    <row r="179" spans="1:10">
      <c r="A179" t="s">
        <v>272</v>
      </c>
      <c r="B179" s="4">
        <v>59.2</v>
      </c>
      <c r="C179" s="4">
        <v>52.2</v>
      </c>
      <c r="D179" s="4">
        <v>65.4</v>
      </c>
      <c r="E179" s="4">
        <v>44.2</v>
      </c>
      <c r="F179" s="4">
        <v>80.4</v>
      </c>
      <c r="J179" s="4">
        <v>82.4</v>
      </c>
    </row>
    <row r="180" spans="1:10">
      <c r="A180" t="s">
        <v>273</v>
      </c>
      <c r="B180" s="4">
        <v>85.2</v>
      </c>
      <c r="C180" s="4">
        <v>85.8</v>
      </c>
      <c r="D180" s="4">
        <v>89.2</v>
      </c>
      <c r="E180" s="4">
        <v>85.6</v>
      </c>
      <c r="F180" s="4">
        <v>90.2</v>
      </c>
      <c r="J180" s="4">
        <v>83</v>
      </c>
    </row>
    <row r="181" spans="1:10">
      <c r="A181" t="s">
        <v>274</v>
      </c>
      <c r="B181" s="4">
        <v>86.6</v>
      </c>
      <c r="C181" s="4">
        <v>86.4</v>
      </c>
      <c r="D181" s="4">
        <v>91</v>
      </c>
      <c r="E181" s="4">
        <v>88.4</v>
      </c>
      <c r="F181" s="4">
        <v>92.2</v>
      </c>
      <c r="J181" s="4">
        <v>86</v>
      </c>
    </row>
    <row r="182" spans="1:10">
      <c r="A182" t="s">
        <v>275</v>
      </c>
      <c r="B182" s="4">
        <v>81</v>
      </c>
      <c r="C182" s="4">
        <v>82.6</v>
      </c>
      <c r="D182" s="4">
        <v>83.8</v>
      </c>
      <c r="E182" s="4">
        <v>79.8</v>
      </c>
      <c r="F182" s="4">
        <v>79.6</v>
      </c>
      <c r="J182" s="4">
        <v>79</v>
      </c>
    </row>
    <row r="183" spans="1:10">
      <c r="A183" t="s">
        <v>276</v>
      </c>
      <c r="B183">
        <f t="shared" ref="B183:F183" si="0">AVERAGE(B3:B182)</f>
        <v>79.1333333333334</v>
      </c>
      <c r="C183">
        <f t="shared" si="0"/>
        <v>75.6755555555556</v>
      </c>
      <c r="D183">
        <f t="shared" si="0"/>
        <v>78.24</v>
      </c>
      <c r="E183">
        <f t="shared" si="0"/>
        <v>72.2444444444444</v>
      </c>
      <c r="F183">
        <f t="shared" si="0"/>
        <v>78.5222222222223</v>
      </c>
    </row>
    <row r="184" spans="1:10">
      <c r="A184" t="s">
        <v>277</v>
      </c>
      <c r="B184">
        <f>AVERAGE(B3:F182)</f>
        <v>76.7631111111111</v>
      </c>
    </row>
    <row r="185" spans="1:10">
      <c r="A185" t="s">
        <v>278</v>
      </c>
      <c r="B185" t="e">
        <f>5*DEVSQ(G3:G182)</f>
        <v>#NUM!</v>
      </c>
    </row>
    <row r="186" spans="1:10">
      <c r="A186" t="s">
        <v>279</v>
      </c>
      <c r="B186">
        <f>180*SUM((B183-B184)^2+(C183-B184)^2+(D183-B184)^2+(E183-B184)^2+(F183-B184)^2)</f>
        <v>5849.05528888901</v>
      </c>
    </row>
    <row r="187" spans="1:10">
      <c r="A187" t="s">
        <v>280</v>
      </c>
      <c r="B187">
        <f>DEVSQ(B3:F182)</f>
        <v>437228.055288889</v>
      </c>
    </row>
    <row r="188" spans="1:10">
      <c r="A188" t="s">
        <v>281</v>
      </c>
      <c r="B188" t="e">
        <f>B187-B185-B186</f>
        <v>#NUM!</v>
      </c>
    </row>
    <row r="189" spans="1:10">
      <c r="A189" t="s">
        <v>282</v>
      </c>
      <c r="B189" t="e">
        <f>B185/(180-1)</f>
        <v>#NUM!</v>
      </c>
    </row>
    <row r="190" spans="1:10">
      <c r="A190" t="s">
        <v>283</v>
      </c>
      <c r="B190">
        <f>B186/(5-1)</f>
        <v>1462.26382222225</v>
      </c>
    </row>
    <row r="191" spans="1:10">
      <c r="A191" t="s">
        <v>284</v>
      </c>
      <c r="B191" t="e">
        <f>B188/((180-1)*(5-1))</f>
        <v>#NUM!</v>
      </c>
    </row>
    <row r="192" spans="1:10">
      <c r="A192" t="s">
        <v>285</v>
      </c>
      <c r="B192" t="e">
        <f>(B189-B191)/(B189+(5-1)*B191)</f>
        <v>#NUM!</v>
      </c>
    </row>
    <row r="193" spans="1:6">
      <c r="A193" t="s">
        <v>290</v>
      </c>
      <c r="B193" t="e">
        <f>(B189-B191)/(B189+(5-1)*B191+5*(B190-B191)/180)</f>
        <v>#NUM!</v>
      </c>
    </row>
    <row r="194" spans="1:6">
      <c r="A194" t="s">
        <v>295</v>
      </c>
      <c r="B194" t="e">
        <f>B189/B191</f>
        <v>#NUM!</v>
      </c>
    </row>
    <row r="195" spans="1:6">
      <c r="A195" t="s">
        <v>296</v>
      </c>
      <c r="B195">
        <f>FINV(0.975,179,716)</f>
        <v>0.786315954650894</v>
      </c>
    </row>
    <row r="196" spans="1:6">
      <c r="A196" t="s">
        <v>297</v>
      </c>
      <c r="B196">
        <f>FINV(0.025,179,716)</f>
        <v>1.25110160623395</v>
      </c>
    </row>
    <row r="197" spans="1:6">
      <c r="A197" t="s">
        <v>298</v>
      </c>
      <c r="B197" t="e">
        <f>(B194-B196)/(B194+4*B196)</f>
        <v>#NUM!</v>
      </c>
    </row>
    <row r="198" spans="1:6">
      <c r="A198" t="s">
        <v>299</v>
      </c>
      <c r="B198" t="e">
        <f>(B194-B195)/(B194+4*B195)</f>
        <v>#NUM!</v>
      </c>
    </row>
    <row r="200" ht="16.5" spans="1:6">
      <c r="A200" s="7" t="s">
        <v>300</v>
      </c>
      <c r="B200" s="3" t="s">
        <v>87</v>
      </c>
      <c r="C200" s="3" t="s">
        <v>88</v>
      </c>
      <c r="D200" s="3" t="s">
        <v>89</v>
      </c>
      <c r="E200" s="3" t="s">
        <v>90</v>
      </c>
      <c r="F200" s="3" t="s">
        <v>91</v>
      </c>
    </row>
    <row r="201" spans="1:6">
      <c r="A201" s="3" t="s">
        <v>87</v>
      </c>
      <c r="B201" s="8" t="s">
        <v>301</v>
      </c>
      <c r="C201" s="8" cm="1">
        <f t="array" ref="C201">CORREL(B3:B182,C3:C182)</f>
        <v>0.813125142662665</v>
      </c>
      <c r="D201" s="8" cm="1">
        <f t="array" ref="D201">CORREL(B3:B182,D3:D182)</f>
        <v>0.938318956047006</v>
      </c>
      <c r="E201" s="8" cm="1">
        <f t="array" ref="E201">CORREL(B3:B182,E3:E182)</f>
        <v>0.881923032622796</v>
      </c>
      <c r="F201" s="8" cm="1">
        <f t="array" ref="F201">CORREL(B3:B182,F3:F182)</f>
        <v>0.915065424750982</v>
      </c>
    </row>
    <row r="202" spans="1:6">
      <c r="A202" s="3" t="s">
        <v>88</v>
      </c>
      <c r="B202" s="8"/>
      <c r="C202" s="8" t="s">
        <v>301</v>
      </c>
      <c r="D202" s="8" cm="1">
        <f t="array" ref="D202">CORREL(C3:C182,D3:D182)</f>
        <v>0.833893756585454</v>
      </c>
      <c r="E202" s="8" cm="1">
        <f t="array" ref="E202">CORREL(C3:C182,E3:E182)</f>
        <v>0.81079413995662</v>
      </c>
      <c r="F202" s="8" cm="1">
        <f t="array" ref="F202">CORREL(C3:C182,F3:F182)</f>
        <v>0.82268910102013</v>
      </c>
    </row>
    <row r="203" spans="1:6">
      <c r="A203" s="3" t="s">
        <v>89</v>
      </c>
      <c r="B203" s="8"/>
      <c r="C203" s="8"/>
      <c r="D203" s="8" t="s">
        <v>301</v>
      </c>
      <c r="E203" s="8" cm="1">
        <f t="array" ref="E203">CORREL(D3:D182,E3:E182)</f>
        <v>0.932780347760373</v>
      </c>
      <c r="F203" s="8" cm="1">
        <f t="array" ref="F203">CORREL(D3:D182,F3:F182)</f>
        <v>0.94653081194472</v>
      </c>
    </row>
    <row r="204" spans="1:6">
      <c r="A204" s="3" t="s">
        <v>90</v>
      </c>
      <c r="B204" s="8"/>
      <c r="C204" s="8"/>
      <c r="D204" s="8"/>
      <c r="E204" s="8" t="s">
        <v>301</v>
      </c>
      <c r="F204" s="8" cm="1">
        <f t="array" ref="F204">CORREL(E3:E182,F3:F182)</f>
        <v>0.9028566964845</v>
      </c>
    </row>
    <row r="205" spans="1:6">
      <c r="A205" s="3" t="s">
        <v>91</v>
      </c>
      <c r="B205" s="8"/>
      <c r="C205" s="8"/>
      <c r="D205" s="8"/>
      <c r="E205" s="8"/>
      <c r="F205" s="8" t="s">
        <v>301</v>
      </c>
    </row>
    <row r="206" spans="1:6">
      <c r="B206" s="9" t="s">
        <v>302</v>
      </c>
      <c r="C206" s="9">
        <f>MAX(C201:F204)</f>
        <v>0.94653081194472</v>
      </c>
      <c r="D206" s="9" t="s">
        <v>303</v>
      </c>
      <c r="E206" s="9">
        <f>MIN(C201:F204)</f>
        <v>0.81079413995662</v>
      </c>
      <c r="F206" s="10"/>
    </row>
    <row r="207" spans="1:6">
      <c r="A207" s="3" t="s">
        <v>306</v>
      </c>
      <c r="B207" s="8" cm="1">
        <f t="array" ref="B207">AVERAGE(ABS($J$3:$J$182-B3:B182))</f>
        <v>10.67</v>
      </c>
      <c r="C207" s="8" cm="1">
        <f t="array" ref="C207">AVERAGE(ABS($J$3:$J$182-C3:C182))</f>
        <v>11.71</v>
      </c>
      <c r="D207" s="8" cm="1">
        <f t="array" ref="D207">AVERAGE(ABS($J$3:$J$182-D3:D182))</f>
        <v>11.6477777777778</v>
      </c>
      <c r="E207" s="8" cm="1">
        <f t="array" ref="E207">AVERAGE(ABS($J$3:$J$182-E3:E182))</f>
        <v>11.5766666666667</v>
      </c>
      <c r="F207" s="8" cm="1">
        <f t="array" ref="F207">AVERAGE(ABS($J$3:$J$182-F3:F182))</f>
        <v>11.6033333333333</v>
      </c>
    </row>
    <row r="208" spans="1:6">
      <c r="A208" s="4"/>
      <c r="B208" s="8" t="s">
        <v>302</v>
      </c>
      <c r="C208" s="8">
        <f t="shared" ref="C208:C212" si="1">MAX(B207:F207)</f>
        <v>11.71</v>
      </c>
      <c r="D208" s="8" t="s">
        <v>303</v>
      </c>
      <c r="E208" s="8">
        <f t="shared" ref="E208:E212" si="2">MIN(B207:F207)</f>
        <v>10.67</v>
      </c>
      <c r="F208" s="8"/>
    </row>
    <row r="209" spans="1:6">
      <c r="A209" s="3" t="s">
        <v>307</v>
      </c>
      <c r="B209" s="8" cm="1">
        <f t="array" ref="B209">SQRT(SUMPRODUCT(($J$3:$J$182-B3:B182)^2)/180)</f>
        <v>14.4485216467906</v>
      </c>
      <c r="C209" s="8" cm="1">
        <f t="array" ref="C209">SQRT(SUMPRODUCT(($J$3:$J$182-C3:C182)^2)/180)</f>
        <v>16.7750144891476</v>
      </c>
      <c r="D209" s="8" cm="1">
        <f t="array" ref="D209">SQRT(SUMPRODUCT(($J$3:$J$182-D3:D182)^2)/180)</f>
        <v>14.8981206868517</v>
      </c>
      <c r="E209" s="8" cm="1">
        <f t="array" ref="E209">SQRT(SUMPRODUCT(($J$3:$J$182-E3:E182)^2)/180)</f>
        <v>16.1607033675312</v>
      </c>
      <c r="F209" s="8" cm="1">
        <f t="array" ref="F209">SQRT(SUMPRODUCT(($J$3:$J$182-F3:F182)^2)/180)</f>
        <v>15.4335241168913</v>
      </c>
    </row>
    <row r="210" spans="1:6">
      <c r="A210" s="4"/>
      <c r="B210" s="8" t="s">
        <v>302</v>
      </c>
      <c r="C210" s="8">
        <f t="shared" si="1"/>
        <v>16.7750144891476</v>
      </c>
      <c r="D210" s="8" t="s">
        <v>303</v>
      </c>
      <c r="E210" s="8">
        <f t="shared" si="2"/>
        <v>14.4485216467906</v>
      </c>
      <c r="F210" s="8"/>
    </row>
    <row r="211" spans="1:6">
      <c r="A211" s="3" t="s">
        <v>537</v>
      </c>
      <c r="B211" s="8" cm="1">
        <f t="array" ref="B211">AVERAGE(IF($J$3:$J$182&lt;75,ABS($J$3:$J$182-B3:B182)))</f>
        <v>17.2615384615384</v>
      </c>
      <c r="C211" s="8" cm="1">
        <f t="array" ref="C211">AVERAGE(IF($J$3:$J$182&lt;75,ABS($J$3:$J$182-C3:C182)))</f>
        <v>18.6153846153846</v>
      </c>
      <c r="D211" s="8" cm="1">
        <f t="array" ref="D211">AVERAGE(IF($J$3:$J$182&lt;75,ABS($J$3:$J$182-D3:D182)))</f>
        <v>17.8512820512821</v>
      </c>
      <c r="E211" s="8" cm="1">
        <f t="array" ref="E211">AVERAGE(IF($J$3:$J$182&lt;75,ABS($J$3:$J$182-E3:E182)))</f>
        <v>17.6717948717949</v>
      </c>
      <c r="F211" s="8" cm="1">
        <f t="array" ref="F211">AVERAGE(IF($J$3:$J$182&lt;75,ABS($J$3:$J$182-F3:F182)))</f>
        <v>18.0320512820513</v>
      </c>
    </row>
    <row r="212" spans="1:6">
      <c r="A212" s="4"/>
      <c r="B212" s="8" t="s">
        <v>302</v>
      </c>
      <c r="C212" s="8">
        <f t="shared" si="1"/>
        <v>18.6153846153846</v>
      </c>
      <c r="D212" s="8" t="s">
        <v>303</v>
      </c>
      <c r="E212" s="8">
        <f t="shared" si="2"/>
        <v>17.2615384615384</v>
      </c>
      <c r="F212" s="8"/>
    </row>
    <row r="213" spans="1:6">
      <c r="A213" s="3" t="s">
        <v>538</v>
      </c>
      <c r="B213" s="8" cm="1">
        <f t="array" ref="B213">AVERAGE(IF($J$3:$J$182&gt;=90,ABS($J$3:$J$182-B3:B182)))</f>
        <v>0.968000000000003</v>
      </c>
      <c r="C213" s="8" cm="1">
        <f t="array" ref="C213">AVERAGE(IF($J$3:$J$182&gt;=90,ABS($J$3:$J$182-C3:C182)))</f>
        <v>2.888</v>
      </c>
      <c r="D213" s="8" cm="1">
        <f t="array" ref="D213">AVERAGE(IF($J$3:$J$182&gt;=90,ABS($J$3:$J$182-D3:D182)))</f>
        <v>2.352</v>
      </c>
      <c r="E213" s="8" cm="1">
        <f t="array" ref="E213">AVERAGE(IF($J$3:$J$182&gt;=90,ABS($J$3:$J$182-E3:E182)))</f>
        <v>3.916</v>
      </c>
      <c r="F213" s="8" cm="1">
        <f t="array" ref="F213">AVERAGE(IF($J$3:$J$182&gt;=90,ABS($J$3:$J$182-F3:F182)))</f>
        <v>2.408</v>
      </c>
    </row>
    <row r="214" spans="1:6">
      <c r="A214" s="4"/>
      <c r="B214" s="8" t="s">
        <v>302</v>
      </c>
      <c r="C214" s="8">
        <f>MAX(B213:F213)</f>
        <v>3.916</v>
      </c>
      <c r="D214" s="8" t="s">
        <v>303</v>
      </c>
      <c r="E214" s="8">
        <f>MIN(B213:F213)</f>
        <v>0.968000000000003</v>
      </c>
      <c r="F214" s="8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0_说明</vt:lpstr>
      <vt:lpstr>表3_五轮均分SD</vt:lpstr>
      <vt:lpstr>表4_离散度</vt:lpstr>
      <vt:lpstr>表5_跨模型ICC</vt:lpstr>
      <vt:lpstr>表6_轮均分</vt:lpstr>
      <vt:lpstr>表7_三分组</vt:lpstr>
      <vt:lpstr>表8_问卷</vt:lpstr>
      <vt:lpstr>表9_编译验证</vt:lpstr>
      <vt:lpstr>表10_参数敏感性</vt:lpstr>
      <vt:lpstr>表11_跨平台</vt:lpstr>
      <vt:lpstr>表12_跨时机_教师AI</vt:lpstr>
      <vt:lpstr>配对t检验</vt:lpstr>
      <vt:lpstr>6.3存在分歧的集中点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何川</cp:lastModifiedBy>
  <dcterms:created xsi:type="dcterms:W3CDTF">2026-08-13T07:40:00Z</dcterms:created>
  <dcterms:modified xsi:type="dcterms:W3CDTF">2026-08-30T12:04:04Z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2EB1975944354259B504EFEF889591F6_13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